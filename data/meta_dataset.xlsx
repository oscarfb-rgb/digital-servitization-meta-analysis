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4"/>
  <workbookPr defaultThemeVersion="124226"/>
  <mc:AlternateContent xmlns:mc="http://schemas.openxmlformats.org/markup-compatibility/2006">
    <mc:Choice Requires="x15">
      <x15ac:absPath xmlns:x15ac="http://schemas.microsoft.com/office/spreadsheetml/2010/11/ac" url="C:\Users\fvendrel\Dropbox\Pirradas\Papers\Paper Rodrigo Metaanalisis\"/>
    </mc:Choice>
  </mc:AlternateContent>
  <xr:revisionPtr revIDLastSave="0" documentId="13_ncr:1_{DE1637B5-0775-4DE7-9ECC-2E5FFFFA19FE}" xr6:coauthVersionLast="47" xr6:coauthVersionMax="47" xr10:uidLastSave="{00000000-0000-0000-0000-000000000000}"/>
  <bookViews>
    <workbookView xWindow="-110" yWindow="-110" windowWidth="19420" windowHeight="10300" xr2:uid="{00000000-000D-0000-FFFF-FFFF00000000}"/>
  </bookViews>
  <sheets>
    <sheet name="Sheet1" sheetId="1" r:id="rId1"/>
    <sheet name="Sheet2" sheetId="2" r:id="rId2"/>
    <sheet name="Sheet4" sheetId="4" r:id="rId3"/>
    <sheet name="Huawei GCI" sheetId="3"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Z71" i="1" l="1"/>
  <c r="Z72" i="1"/>
  <c r="Z73" i="1"/>
  <c r="Z74" i="1"/>
  <c r="Z75" i="1"/>
  <c r="Z76" i="1"/>
  <c r="Y71" i="1"/>
  <c r="Y72" i="1"/>
  <c r="Y73" i="1"/>
  <c r="Y74" i="1"/>
  <c r="Y75" i="1"/>
  <c r="Y76" i="1"/>
  <c r="AA76" i="1" s="1"/>
  <c r="I76" i="1"/>
  <c r="I75" i="1"/>
  <c r="I74" i="1"/>
  <c r="I73" i="1"/>
  <c r="I72" i="1"/>
  <c r="I71"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2" i="1"/>
  <c r="D10" i="4"/>
  <c r="H6" i="3"/>
  <c r="H4" i="3"/>
  <c r="D61" i="4"/>
  <c r="D7" i="4"/>
  <c r="AA72" i="1" l="1"/>
  <c r="AA73" i="1"/>
  <c r="AA75" i="1"/>
  <c r="AA74" i="1"/>
  <c r="AA71" i="1"/>
</calcChain>
</file>

<file path=xl/sharedStrings.xml><?xml version="1.0" encoding="utf-8"?>
<sst xmlns="http://schemas.openxmlformats.org/spreadsheetml/2006/main" count="1450" uniqueCount="511">
  <si>
    <t>Obs</t>
  </si>
  <si>
    <t>Study</t>
  </si>
  <si>
    <t>Theoretical lens</t>
  </si>
  <si>
    <t>Region</t>
  </si>
  <si>
    <t>Industry</t>
  </si>
  <si>
    <t>Data</t>
  </si>
  <si>
    <t>Digitalization measurement</t>
  </si>
  <si>
    <t>Servitization measurement</t>
  </si>
  <si>
    <t>Relationship</t>
  </si>
  <si>
    <t>Relationship between variables</t>
  </si>
  <si>
    <t>Parameter cleaning</t>
  </si>
  <si>
    <t>Performance measurement</t>
  </si>
  <si>
    <t>Effect size</t>
  </si>
  <si>
    <t>Sample size</t>
  </si>
  <si>
    <t>Effect_dummy</t>
  </si>
  <si>
    <t>Year</t>
  </si>
  <si>
    <t>Link</t>
  </si>
  <si>
    <t>Variance</t>
  </si>
  <si>
    <t>Weight</t>
  </si>
  <si>
    <t>Opazo-Basáez M.; Vendrell-Herrero F.; Bustinza O.F.</t>
  </si>
  <si>
    <t>Kaňovská L.</t>
  </si>
  <si>
    <t>Kohtamäki M.; Parida V.; Patel P.C.; Gebauer H.</t>
  </si>
  <si>
    <t>Martín-Peña M.-L.; Sánchez-López J.-M.; Díaz-Garrido E.</t>
  </si>
  <si>
    <t>Abou-foul M.; Ruiz-Alba J.L.; Soares A.</t>
  </si>
  <si>
    <t>Blichfeldt H.; Faullant R.</t>
  </si>
  <si>
    <t>De Luca L.M.; Herhausen D.; Troilo G.; Rossi A.</t>
  </si>
  <si>
    <t>Kharlamov A.A.; Parry G.</t>
  </si>
  <si>
    <t>Korkeamäki L.; Kohtamäki M.; Parida V.</t>
  </si>
  <si>
    <t>Shen L.; Sun C.; Ali M.</t>
  </si>
  <si>
    <t>Zhou D.; Yan T.; Dai W.; Feng J.</t>
  </si>
  <si>
    <t>Agarwal G.K.; Simonsson J.; Magnusson M.; Hald K.S.; Johanson A.</t>
  </si>
  <si>
    <t>Bettiol M.; Capestro M.; Di Maria E.; Micelli S.</t>
  </si>
  <si>
    <t>Bortoluzzi G.; Chiarvesio M.; Romanello R.; Tabacco R.; Veglio V.</t>
  </si>
  <si>
    <t>Dalenogare L.S.; Le Dain M.-A.; Benitez G.B.; Ayala N.F.; Frank A.G.</t>
  </si>
  <si>
    <t>Falkenreck C.; Wagner R.</t>
  </si>
  <si>
    <t>Li L.; Zhu W.; Wei L.; Yang S.</t>
  </si>
  <si>
    <t>Liu C.; Ji H.; Ji J.</t>
  </si>
  <si>
    <t>Rakic S.; Pero M.; Sianesi A.; Marjanovic U.</t>
  </si>
  <si>
    <t>Smania G.S.; Mendes G.H.S.; Lizarelli F.L.; Favoretto C.</t>
  </si>
  <si>
    <t>Behl A.; Kamboj S.; Sarmah B.; Pereira V.; Sharma K.; Rammal H.G.; Arrigo E.</t>
  </si>
  <si>
    <t>Chen L.; Dai Y.; Ren F.; Dong X.</t>
  </si>
  <si>
    <t>Davies P.; Bustinza O.F.; Parry G.; Jovanovic M.</t>
  </si>
  <si>
    <t>Harrmann L.K.; Eggert A.; Böhm E.</t>
  </si>
  <si>
    <t>Li L.; Zhang L.; Yang S.; Wei L.</t>
  </si>
  <si>
    <t>Opazo-Basáez M.; Vendrell-Herrero F.; Bustinza O.F.; Vaillant Y.; Marić J.</t>
  </si>
  <si>
    <t>Schulz C.; Kortmann S.; Piller, F.T.; Pollok P.</t>
  </si>
  <si>
    <t>Song X.; Yang J.</t>
  </si>
  <si>
    <t>Wang J.; Wang W.; Wu H.; Liu Y.</t>
  </si>
  <si>
    <t>Wang Y.; Han P.</t>
  </si>
  <si>
    <t>Xie J.; Ma L.; Li J.</t>
  </si>
  <si>
    <t>Yang Z.; Zhang Y.; Zhang T.</t>
  </si>
  <si>
    <t>Bag S.; Gupta S.; Chan H.-L.; Kumar A.</t>
  </si>
  <si>
    <t>Behl A.; Sampat B.; Gaur J.; Pereira V.; Laker B.; Shankar A.; Shi P.; Roohanifar M.</t>
  </si>
  <si>
    <t>Bustinza, O.F., Molina, L.; Vendrell-Herrero, F.; Opazo-Basaez, M</t>
  </si>
  <si>
    <t>Guang H.; Liu Y.; Feng J.; Wang N.</t>
  </si>
  <si>
    <t>Lee M.-J.; Kim Y.; Roh T.</t>
  </si>
  <si>
    <t>Li G.; Chen Y.; Cheng Y.</t>
  </si>
  <si>
    <t>Li H.; Lu L.B.; Yang S.</t>
  </si>
  <si>
    <t>Liu B.; Li Z.; Fu Y.</t>
  </si>
  <si>
    <t>Upadhayay N.B.; Rocchetta S.; Gupta S.; Kamble S.; Stekelorum R.</t>
  </si>
  <si>
    <t>Vaillant Y.; Lafuente E.</t>
  </si>
  <si>
    <t>Vendrell-Herrero F.; Para-González L.; Mascaraque-Ramírez C.; Freixanet J.</t>
  </si>
  <si>
    <t>Wang M.</t>
  </si>
  <si>
    <t>Zhou D.; Wu Q.; Lee S.; Li X.; Sun K.; Peng X.</t>
  </si>
  <si>
    <t>Scientific management (Taylorism)</t>
  </si>
  <si>
    <t>Not specified</t>
  </si>
  <si>
    <t>Capabilities</t>
  </si>
  <si>
    <t>Dynamic-capabilities view</t>
  </si>
  <si>
    <t>Service-dominant logic</t>
  </si>
  <si>
    <t>Decision-making</t>
  </si>
  <si>
    <t xml:space="preserve"> Organizational information-processing (OIP) theory</t>
  </si>
  <si>
    <t>Dynamic capabilities / Absorptive capacity</t>
  </si>
  <si>
    <t>Dynamic capablities / Technology innovation diffusion</t>
  </si>
  <si>
    <t>Resource-based view</t>
  </si>
  <si>
    <t>Affordance theory</t>
  </si>
  <si>
    <t>Multiple</t>
  </si>
  <si>
    <t>Self-determination and goal-setting theory</t>
  </si>
  <si>
    <t>Technology Acceptance Model and Innovation Diffusion Theory</t>
  </si>
  <si>
    <t>Organizational learning capability</t>
  </si>
  <si>
    <t>Czech Republic</t>
  </si>
  <si>
    <t>Sweeden</t>
  </si>
  <si>
    <t>Spain</t>
  </si>
  <si>
    <t>Europe</t>
  </si>
  <si>
    <t>Italy</t>
  </si>
  <si>
    <t>China</t>
  </si>
  <si>
    <t>Brazil</t>
  </si>
  <si>
    <t>Germany</t>
  </si>
  <si>
    <t>Serbia</t>
  </si>
  <si>
    <t>India</t>
  </si>
  <si>
    <t>Germany and UK</t>
  </si>
  <si>
    <t>Germany, UK and USA</t>
  </si>
  <si>
    <t>Austria, Germany, Switzerland, US</t>
  </si>
  <si>
    <t>Korea</t>
  </si>
  <si>
    <t>Automotive</t>
  </si>
  <si>
    <t>Electric equipment and electronic</t>
  </si>
  <si>
    <t>Manufacturing</t>
  </si>
  <si>
    <t>Book publishers</t>
  </si>
  <si>
    <t>Metal and machinery</t>
  </si>
  <si>
    <t>Machinery and equipment</t>
  </si>
  <si>
    <t>IT Manufacturing</t>
  </si>
  <si>
    <t>ICT, equipment and chemical manufacturing</t>
  </si>
  <si>
    <t>Metal, electronic and automotive industry</t>
  </si>
  <si>
    <t>Equipment manufacturing</t>
  </si>
  <si>
    <t>Secondary data</t>
  </si>
  <si>
    <t>Survey</t>
  </si>
  <si>
    <t>Archival data</t>
  </si>
  <si>
    <t>Digital servitization</t>
  </si>
  <si>
    <t>Smart services</t>
  </si>
  <si>
    <t xml:space="preserve">Digitalization  </t>
  </si>
  <si>
    <t>Digital technology adoption</t>
  </si>
  <si>
    <t>Industry digitalization</t>
  </si>
  <si>
    <t>Digital outcome-based services</t>
  </si>
  <si>
    <t>Digitalized service offerings</t>
  </si>
  <si>
    <t>ICT</t>
  </si>
  <si>
    <t>Industry 4.0</t>
  </si>
  <si>
    <t>4.0 Digital technologies</t>
  </si>
  <si>
    <t>Smart products</t>
  </si>
  <si>
    <t>Digital services (cloud)</t>
  </si>
  <si>
    <t>Digital capabilities</t>
  </si>
  <si>
    <t>IT Technological capabilities</t>
  </si>
  <si>
    <t>Digital solutions (Data-based)</t>
  </si>
  <si>
    <t>Digitalization &amp; Technology tranfer</t>
  </si>
  <si>
    <t>Servitization</t>
  </si>
  <si>
    <t>Digital analysis capabilities</t>
  </si>
  <si>
    <t>Digital application capabilities</t>
  </si>
  <si>
    <t>Digital technology use</t>
  </si>
  <si>
    <t>Big data affordances</t>
  </si>
  <si>
    <t>Data-driven module (Smart Manufacturing)</t>
  </si>
  <si>
    <t>Real Time Monitoring module (Smart Manufacturing)</t>
  </si>
  <si>
    <t>Problem processing module (Smart Manufacturing)</t>
  </si>
  <si>
    <t>Digitalization capability</t>
  </si>
  <si>
    <t>Digital transformation</t>
  </si>
  <si>
    <t>Digitalization</t>
  </si>
  <si>
    <t>Analytics and BI Capabiities</t>
  </si>
  <si>
    <t>AI-driven Smart Manufacturing</t>
  </si>
  <si>
    <t>Smart Manufacturing</t>
  </si>
  <si>
    <t>Digital technology application</t>
  </si>
  <si>
    <t>Digital service innovation</t>
  </si>
  <si>
    <t xml:space="preserve">Servitization   </t>
  </si>
  <si>
    <t>Product-service innovation</t>
  </si>
  <si>
    <t>Service innovation</t>
  </si>
  <si>
    <t>Advanced services</t>
  </si>
  <si>
    <t>Service capabilities</t>
  </si>
  <si>
    <t>Smart customization</t>
  </si>
  <si>
    <t>Service-oriented manufacturing</t>
  </si>
  <si>
    <t>Smart PSS capabilities</t>
  </si>
  <si>
    <t>Service-oriented transformation</t>
  </si>
  <si>
    <t>Digital servitization on performance</t>
  </si>
  <si>
    <t>Smart service on performance</t>
  </si>
  <si>
    <t>Path Digitalization-Servitization-Performance</t>
  </si>
  <si>
    <t>Path Servitization-Digitalization-Performance</t>
  </si>
  <si>
    <t>Sample of Digital servitized</t>
  </si>
  <si>
    <t>Dummy variable</t>
  </si>
  <si>
    <t>Variance analysis</t>
  </si>
  <si>
    <t>Regression analysis</t>
  </si>
  <si>
    <t>CB-SEM</t>
  </si>
  <si>
    <t>Correlation analysis</t>
  </si>
  <si>
    <t>ANOVA y regression analysis</t>
  </si>
  <si>
    <t>PROCESS analysis</t>
  </si>
  <si>
    <t>PLS-SEM</t>
  </si>
  <si>
    <t>Value=1</t>
  </si>
  <si>
    <t>Likert scale</t>
  </si>
  <si>
    <t>Moderation (U-Shape)</t>
  </si>
  <si>
    <t>Mediation (Total effect)</t>
  </si>
  <si>
    <t>Correlation</t>
  </si>
  <si>
    <t>Moderation  SI*DI</t>
  </si>
  <si>
    <t>Direct relationship</t>
  </si>
  <si>
    <t>Moderation  Serv*External Dig</t>
  </si>
  <si>
    <t>Moderation  Serv*Internal Dig</t>
  </si>
  <si>
    <t>Direct relationship (B2B)</t>
  </si>
  <si>
    <t>Mediation through Potential absorptive capacity (Total effect)</t>
  </si>
  <si>
    <t>Mediation through Realized absorptive capacity (Total effect)</t>
  </si>
  <si>
    <t>Moderation by Technological turbulance</t>
  </si>
  <si>
    <t>Moderated mediation through Innovation network</t>
  </si>
  <si>
    <t xml:space="preserve">Moderated by Techology intensity </t>
  </si>
  <si>
    <t>Digitalization play a n.s. moderation role</t>
  </si>
  <si>
    <t>Digitalization play a moderation role</t>
  </si>
  <si>
    <t>Moderated mediation through Service supporting products type</t>
  </si>
  <si>
    <t>Moderated mediation through Service supporting customers type</t>
  </si>
  <si>
    <t>Mediation through Outcome servitization process (Total effect)</t>
  </si>
  <si>
    <t>Mediation through Customer servitization process (Total effect)</t>
  </si>
  <si>
    <t>Moderation  Digitalización*Advanced services</t>
  </si>
  <si>
    <t>Moderation Digitalization*Servitization</t>
  </si>
  <si>
    <t>Moderation Servitization *Digitalization</t>
  </si>
  <si>
    <t>Mediation Basic Services (Total effect)</t>
  </si>
  <si>
    <t>Mediation Advanced Services (Total effect)</t>
  </si>
  <si>
    <t>Indirect relationship through Goal Commitment</t>
  </si>
  <si>
    <t>Indirect relationship through GSCM practices</t>
  </si>
  <si>
    <t>Mediation on Digitally-intensive industries (Total effect)</t>
  </si>
  <si>
    <t>Mediation on Digitally-augmented industries (Total effect)</t>
  </si>
  <si>
    <t>Direct relationship Basic digital services</t>
  </si>
  <si>
    <t>Direct relationship Advanced digital services</t>
  </si>
  <si>
    <t>Labor productivity</t>
  </si>
  <si>
    <t>Innovation performance</t>
  </si>
  <si>
    <t>Return on assets (ROA)</t>
  </si>
  <si>
    <t xml:space="preserve">Firm performance </t>
  </si>
  <si>
    <t>Financial performance</t>
  </si>
  <si>
    <t>Performance (ROS)</t>
  </si>
  <si>
    <t>Perceived performance</t>
  </si>
  <si>
    <t>Productivity and profitability</t>
  </si>
  <si>
    <t>Performance (Gross margin)</t>
  </si>
  <si>
    <t>Market performance</t>
  </si>
  <si>
    <t>Perceived value</t>
  </si>
  <si>
    <t>Product innovation</t>
  </si>
  <si>
    <t>Product performance (smooth PSS)</t>
  </si>
  <si>
    <t>Non-financial performance (customer satisfaction, image, quality)</t>
  </si>
  <si>
    <t>Competitiveness</t>
  </si>
  <si>
    <t>Customer performance</t>
  </si>
  <si>
    <t>Sales growth</t>
  </si>
  <si>
    <t>Energy conservation and emissions reductio</t>
  </si>
  <si>
    <t>Total Factor Productivity</t>
  </si>
  <si>
    <t>Profitability (ROE)</t>
  </si>
  <si>
    <t>Environmental performance</t>
  </si>
  <si>
    <t>Sustainable performance</t>
  </si>
  <si>
    <t>Ecosystem value capture</t>
  </si>
  <si>
    <t>Width of Breakthrough Innovation</t>
  </si>
  <si>
    <t>Green innovation</t>
  </si>
  <si>
    <t>Carbon productivity</t>
  </si>
  <si>
    <t>Performance (ROA)</t>
  </si>
  <si>
    <t>Innovation intensity</t>
  </si>
  <si>
    <t>Operational performance</t>
  </si>
  <si>
    <t>https://doi.org/10.3390/su10051524</t>
  </si>
  <si>
    <t>https://doi.org/10.2478/emj-2020-0031</t>
  </si>
  <si>
    <t>https://doi.org/10.1016/j.techfore.2019.119804</t>
  </si>
  <si>
    <t>https://doi.org/10.1108/JBIM-12-2018-0400</t>
  </si>
  <si>
    <t>https://doi.org/10.1080/09537287.2020.1780508</t>
  </si>
  <si>
    <t>https://doi.org/10.1016/j.technovation.2021.102275</t>
  </si>
  <si>
    <t>https://doi.org/10.1007/s11747-020-00739-x</t>
  </si>
  <si>
    <t>https://doi.org/10.1080/09537287.2020.1718793</t>
  </si>
  <si>
    <t>https://doi.org/10.1016/j.jbusres.2021.03.048</t>
  </si>
  <si>
    <t>https://doi.org/10.3390/su13179878</t>
  </si>
  <si>
    <t>https://doi.org/10.1016/j.ijpe.2021.108175</t>
  </si>
  <si>
    <t>https://doi.org/10.1108/JMTM-05-2021-0168</t>
  </si>
  <si>
    <t>https://doi.org/10.1016/j.emj.2022.05.003</t>
  </si>
  <si>
    <t>https://doi.org/10.1108/JMTM-08-2021-0317</t>
  </si>
  <si>
    <t>https://doi.org/10.1016/j.techfore.2022.121894</t>
  </si>
  <si>
    <t>https://doi.org/10.1108/JBIM-02-2020-0100</t>
  </si>
  <si>
    <t>https://doi.org/10.1016/j.techfore.2022.121830</t>
  </si>
  <si>
    <t>https://doi.org/10.1016/j.techfore.2022.121996</t>
  </si>
  <si>
    <t>https://dx.doi.org/10.5755/j01.ee.33.4.29649</t>
  </si>
  <si>
    <t>https://doi.org/10.1108/JBIM-02-2020-0082</t>
  </si>
  <si>
    <t>https://doi.org/10.1108/IMR-11-2021-0325</t>
  </si>
  <si>
    <t>https://doi.org/10.1016/j.techfore.2023.122901</t>
  </si>
  <si>
    <t>https://doi.org/10.1016/j.indmarman.2023.09.005</t>
  </si>
  <si>
    <t>https://doi.org/10.1108/EJM-11-2021-0914</t>
  </si>
  <si>
    <t>https://doi.org/10.1016/j.indmarman.2023.08.014</t>
  </si>
  <si>
    <t>https://doi.org/10.1108/IJPDLM-12-2021-0538</t>
  </si>
  <si>
    <t>https://doi.org/10.1111/jpim.12680</t>
  </si>
  <si>
    <t>https://doi.org/10.1177/0958305X231167470</t>
  </si>
  <si>
    <t>https://doi.org/10.1016/j.eneco.2023.106706</t>
  </si>
  <si>
    <t>https://doi.org/10.3390/su15139974</t>
  </si>
  <si>
    <t>https://doi.org/10.3390/su151310644</t>
  </si>
  <si>
    <t>https://doi.org/10.1080/09537287.2023.2229263</t>
  </si>
  <si>
    <t>https://doi.org/10.1016/j.tre.2024.103625</t>
  </si>
  <si>
    <t>https://doi.org/10.1016/j.technovation.2023.102915</t>
  </si>
  <si>
    <t>https://doi.org/10.3390/su16146181</t>
  </si>
  <si>
    <t>https://doi.org/10.1016/j.techfore.2024.123614</t>
  </si>
  <si>
    <t>https://doi.org/10.3390/su16072655</t>
  </si>
  <si>
    <t>https://doi.org/10.1016/j.heliyon.2024.e33520</t>
  </si>
  <si>
    <t>https://doi.org/10.1108/JSTP-07-2023-0200</t>
  </si>
  <si>
    <t>https://doi.org/10.1016/j.technovation.2023.102922</t>
  </si>
  <si>
    <t>https://doi.org/10.1016/j.jclepro.2024.142078</t>
  </si>
  <si>
    <t>https://doi.org/10.1016/j.ijpe.2024.109228</t>
  </si>
  <si>
    <t>https://doi.org/10.1504/IJTM.2024.135232</t>
  </si>
  <si>
    <t>https://doi.org/10.1108/JBIM-07-2022-0308</t>
  </si>
  <si>
    <t>Desv_s</t>
  </si>
  <si>
    <t>Kaňovská, 2020</t>
  </si>
  <si>
    <t>Opazo-Basáez et al., 2018</t>
  </si>
  <si>
    <t>Kohtamäki et al., 2020</t>
  </si>
  <si>
    <t>Martín-Peña et al., 2020</t>
  </si>
  <si>
    <t>Abou-foul et al., 2021</t>
  </si>
  <si>
    <t>Blichfeldt &amp; Faullant, 2021</t>
  </si>
  <si>
    <t>De Luca et al., 2021</t>
  </si>
  <si>
    <t>Kharlamov &amp; Parry, 2021</t>
  </si>
  <si>
    <t>Korkeamäki et al., 2021</t>
  </si>
  <si>
    <t>Shen et al., 2021</t>
  </si>
  <si>
    <t>Zhou et al., 2021</t>
  </si>
  <si>
    <t>Agarwal et al., 2022</t>
  </si>
  <si>
    <t>Bettiol et al., 2022</t>
  </si>
  <si>
    <t>Bortoluzzi et al., 2022</t>
  </si>
  <si>
    <t>Dalenogare et al., 2022</t>
  </si>
  <si>
    <t>Falkenreck &amp; Wagner, 2022</t>
  </si>
  <si>
    <t>Li et al., 2022</t>
  </si>
  <si>
    <t>Liu et al., 2022</t>
  </si>
  <si>
    <t>Rakic et al., 2022</t>
  </si>
  <si>
    <t>Smania et al., 2022</t>
  </si>
  <si>
    <t>Behl et al., 2023</t>
  </si>
  <si>
    <t>Chen et al., 2023</t>
  </si>
  <si>
    <t>Davies et al. 2023</t>
  </si>
  <si>
    <t>Davies et al., 2023</t>
  </si>
  <si>
    <t>Harrmann, et al., 2023</t>
  </si>
  <si>
    <t>Harrmann et al., 2023</t>
  </si>
  <si>
    <t>Li et al., 2023</t>
  </si>
  <si>
    <t>Opazo-Basáez et al., 2023</t>
  </si>
  <si>
    <t>Schulz et al., 2023</t>
  </si>
  <si>
    <t>Song &amp; Yang, 2023</t>
  </si>
  <si>
    <t>Wang et al., 2023</t>
  </si>
  <si>
    <t>Wang &amp; Han, 2023</t>
  </si>
  <si>
    <t>Xie et al., 2023</t>
  </si>
  <si>
    <t>Yang et al., 2023</t>
  </si>
  <si>
    <t>Yang  et al., 2023</t>
  </si>
  <si>
    <t>Bag et al., 2024</t>
  </si>
  <si>
    <t>Behl  et al., 2024</t>
  </si>
  <si>
    <t>Bustinza et al., 2024</t>
  </si>
  <si>
    <t>Guang et al., 2024</t>
  </si>
  <si>
    <t>Lee et al., 2024</t>
  </si>
  <si>
    <t>Li et al., 2024</t>
  </si>
  <si>
    <t>Liu et al, 2024</t>
  </si>
  <si>
    <t>Upadhayay et al., 2024</t>
  </si>
  <si>
    <t>Vaillant  &amp; Lafuente, 2024</t>
  </si>
  <si>
    <t>Vendrell-Herrero et al., 2024</t>
  </si>
  <si>
    <t>Wang, 2024</t>
  </si>
  <si>
    <t>Zhou et al., 2024</t>
  </si>
  <si>
    <t>studylbl</t>
  </si>
  <si>
    <t>Austria, Belgium, Bulgaria, Brazil, China, Czech Republic, Germany, Spain, UK, Hong Kong, Hungary, Japan, Netherlands, Portugal, Romania, Serbia, Russia, Sweden, Slovakia, Ukraine, and US.</t>
  </si>
  <si>
    <t>UK</t>
  </si>
  <si>
    <t>Denmark, Finland, Iceland, Norway, Sweden</t>
  </si>
  <si>
    <t>Germany, UK,  US, Spain, France, Italy, Switzerland, Sweden</t>
  </si>
  <si>
    <t>missing</t>
  </si>
  <si>
    <t>Emerging countries</t>
  </si>
  <si>
    <t>Country</t>
  </si>
  <si>
    <t>Austria</t>
  </si>
  <si>
    <t>Belgium</t>
  </si>
  <si>
    <t>Bulgaria</t>
  </si>
  <si>
    <t>Denmark</t>
  </si>
  <si>
    <t>Finland</t>
  </si>
  <si>
    <t>France</t>
  </si>
  <si>
    <t>Greece</t>
  </si>
  <si>
    <t>Hong Kong</t>
  </si>
  <si>
    <t>Hungary</t>
  </si>
  <si>
    <t>Iceland</t>
  </si>
  <si>
    <t>Japan</t>
  </si>
  <si>
    <t>Netherlands</t>
  </si>
  <si>
    <t>Norway</t>
  </si>
  <si>
    <t>Portugal</t>
  </si>
  <si>
    <t>Romania</t>
  </si>
  <si>
    <t>Russia</t>
  </si>
  <si>
    <t>Sweden</t>
  </si>
  <si>
    <t>Switzerland</t>
  </si>
  <si>
    <t>Ukraine</t>
  </si>
  <si>
    <t>% R&amp;D World bank (multiple years if possible)</t>
  </si>
  <si>
    <t>% internet users world bank (multiple years if possible)</t>
  </si>
  <si>
    <t>Score Huawei annual Global Connectivity Index (GCI) - multiple years if possible - https://www.huawei.com/minisite/gci/en/</t>
  </si>
  <si>
    <t>Australia, Austria, Belgium, Canada, China, Colombia, Czech Republic, Denmark, Estonia, Finland, France, Germany, Greece, Hong Kong, Hungary, Iceland, Ireland, Israel, Italy, India, Japan, Latvia, Lithuania, Luxembourg, Mexico, Netherlands, Norway, New Zealand, Poland, Portugal, Sweden, Spain, Slovenia, Slovak Republic, South Korea, Turkey, United States, United Kingdom</t>
  </si>
  <si>
    <t>Australia</t>
  </si>
  <si>
    <t>Canada</t>
  </si>
  <si>
    <t>Colombia</t>
  </si>
  <si>
    <t>Estonia</t>
  </si>
  <si>
    <t>Ireland</t>
  </si>
  <si>
    <t>Israel</t>
  </si>
  <si>
    <t>Latvia</t>
  </si>
  <si>
    <t>Lithuania</t>
  </si>
  <si>
    <t>Luxembourg</t>
  </si>
  <si>
    <t>Mexico</t>
  </si>
  <si>
    <t>New Zealand</t>
  </si>
  <si>
    <t>Poland</t>
  </si>
  <si>
    <t>Slovenia</t>
  </si>
  <si>
    <t>South Korea</t>
  </si>
  <si>
    <t>Turkey</t>
  </si>
  <si>
    <t>Nº</t>
  </si>
  <si>
    <t>Slovakia</t>
  </si>
  <si>
    <t>United Kingdom</t>
  </si>
  <si>
    <t>United States</t>
  </si>
  <si>
    <t>Cyprus</t>
  </si>
  <si>
    <t>Egypt</t>
  </si>
  <si>
    <t>Indonesia</t>
  </si>
  <si>
    <t>Iran</t>
  </si>
  <si>
    <t>Kuwait</t>
  </si>
  <si>
    <t>Sri Lanka</t>
  </si>
  <si>
    <t>Moldova</t>
  </si>
  <si>
    <t>Malaysia</t>
  </si>
  <si>
    <t>Nigeria</t>
  </si>
  <si>
    <t>Philippines</t>
  </si>
  <si>
    <t>Singapore</t>
  </si>
  <si>
    <t>Thailand</t>
  </si>
  <si>
    <t>Taiwan</t>
  </si>
  <si>
    <t>Vietnam</t>
  </si>
  <si>
    <t>South Africa</t>
  </si>
  <si>
    <t>51 countries: AE, AT, AU, BE, BM, CA, CH, CN, CO, CY, CZ, DE, DK, EE, EG, ES, FI, FR, GB, GR, HK, HU, ID, IE, IL, IN, IR, IT, JP, KR, KW, LK, LU, LV, MD, MY, NG, NL, NZ, PH, PL, RU, SE, SG, SK, TH, TW, UA, US, VN, ZA.</t>
  </si>
  <si>
    <t> United States</t>
  </si>
  <si>
    <t> Singapore</t>
  </si>
  <si>
    <t> Sweden</t>
  </si>
  <si>
    <t> Denmark</t>
  </si>
  <si>
    <t> Finland</t>
  </si>
  <si>
    <t> Netherlands</t>
  </si>
  <si>
    <t> United Kingdom</t>
  </si>
  <si>
    <t> Japan</t>
  </si>
  <si>
    <t> Norway</t>
  </si>
  <si>
    <t> Australia</t>
  </si>
  <si>
    <t> New Zealand</t>
  </si>
  <si>
    <t> South Korea</t>
  </si>
  <si>
    <t> Luxembourg</t>
  </si>
  <si>
    <t> Germany</t>
  </si>
  <si>
    <t> France</t>
  </si>
  <si>
    <t> Canada</t>
  </si>
  <si>
    <t> Ireland</t>
  </si>
  <si>
    <t> Belgium</t>
  </si>
  <si>
    <t> Austria</t>
  </si>
  <si>
    <t>Score</t>
  </si>
  <si>
    <t>Frontrunners</t>
  </si>
  <si>
    <t>Adopters</t>
  </si>
  <si>
    <t>Starters</t>
  </si>
  <si>
    <t> Spain</t>
  </si>
  <si>
    <t> Estonia</t>
  </si>
  <si>
    <t> Portugal</t>
  </si>
  <si>
    <t> Italy</t>
  </si>
  <si>
    <t> Lithuania</t>
  </si>
  <si>
    <t> Czech Republic</t>
  </si>
  <si>
    <t> Slovenia</t>
  </si>
  <si>
    <t> Chile</t>
  </si>
  <si>
    <t> Hungary</t>
  </si>
  <si>
    <t> Slovakia</t>
  </si>
  <si>
    <t> Saudi Arabia</t>
  </si>
  <si>
    <t> Malaysia</t>
  </si>
  <si>
    <t> Greece</t>
  </si>
  <si>
    <t> Bulgaria</t>
  </si>
  <si>
    <t> Bahrain</t>
  </si>
  <si>
    <t> Croatia</t>
  </si>
  <si>
    <t> Poland</t>
  </si>
  <si>
    <t> United Arab Emirates</t>
  </si>
  <si>
    <t> China</t>
  </si>
  <si>
    <t> Uruguay</t>
  </si>
  <si>
    <t> Romania</t>
  </si>
  <si>
    <t> Russia</t>
  </si>
  <si>
    <t> Oman</t>
  </si>
  <si>
    <t> Brazil</t>
  </si>
  <si>
    <t> Kazakhstan</t>
  </si>
  <si>
    <t> Thailand</t>
  </si>
  <si>
    <t> Belarus</t>
  </si>
  <si>
    <t> Kuwait</t>
  </si>
  <si>
    <t> Turkey</t>
  </si>
  <si>
    <t> Argentina</t>
  </si>
  <si>
    <t> Serbia</t>
  </si>
  <si>
    <t> Ukraine</t>
  </si>
  <si>
    <t> Mexico</t>
  </si>
  <si>
    <t> Colombia</t>
  </si>
  <si>
    <t> Vietnam</t>
  </si>
  <si>
    <t> South Africa</t>
  </si>
  <si>
    <t> Indonesia</t>
  </si>
  <si>
    <t> Philippines</t>
  </si>
  <si>
    <t> Morocco</t>
  </si>
  <si>
    <t> Ecuador</t>
  </si>
  <si>
    <t> Paraguay</t>
  </si>
  <si>
    <t> India</t>
  </si>
  <si>
    <t> Egypt</t>
  </si>
  <si>
    <t> Venezuela</t>
  </si>
  <si>
    <t> Jordan</t>
  </si>
  <si>
    <t> Lebanon</t>
  </si>
  <si>
    <t> Bolivia</t>
  </si>
  <si>
    <t> Algeria</t>
  </si>
  <si>
    <t> Kenya</t>
  </si>
  <si>
    <t> Botswana</t>
  </si>
  <si>
    <t> Ghana</t>
  </si>
  <si>
    <t> Bangladesh</t>
  </si>
  <si>
    <t> Namibia</t>
  </si>
  <si>
    <t> Pakistan</t>
  </si>
  <si>
    <t> Nigeria</t>
  </si>
  <si>
    <t> Uganda</t>
  </si>
  <si>
    <t> Tanzania</t>
  </si>
  <si>
    <t> Ethiopia</t>
  </si>
  <si>
    <t>Switzerand</t>
  </si>
  <si>
    <t>Average score</t>
  </si>
  <si>
    <t>Average frontrunner</t>
  </si>
  <si>
    <t>Average rest</t>
  </si>
  <si>
    <t>missing (emerging countries)</t>
  </si>
  <si>
    <t>EU-27</t>
  </si>
  <si>
    <t>Avscore</t>
  </si>
  <si>
    <t>Productivity</t>
  </si>
  <si>
    <t>Value</t>
  </si>
  <si>
    <t>Innovation</t>
  </si>
  <si>
    <t>Financial</t>
  </si>
  <si>
    <t>Sustainability</t>
  </si>
  <si>
    <t>Perf</t>
  </si>
  <si>
    <t>Method</t>
  </si>
  <si>
    <t>Moderation</t>
  </si>
  <si>
    <t>Mediation</t>
  </si>
  <si>
    <t>Direct</t>
  </si>
  <si>
    <t>Serv</t>
  </si>
  <si>
    <t>Smart</t>
  </si>
  <si>
    <t>PSI</t>
  </si>
  <si>
    <t>Adv</t>
  </si>
  <si>
    <t>IndCode</t>
  </si>
  <si>
    <t>Medical device manufacturers</t>
  </si>
  <si>
    <t>IndCode1</t>
  </si>
  <si>
    <t>Pakistan</t>
  </si>
  <si>
    <t>Yang C.; Zhang L.; Ling X.; Qin X.; Li M.</t>
  </si>
  <si>
    <t>Product and service performance</t>
  </si>
  <si>
    <t xml:space="preserve"> https://doi.org/10.1108/BPMJ-02-2024-0075</t>
  </si>
  <si>
    <t>Imran M.; Mustafa G.; Rehman S.U.; Susanto P.</t>
  </si>
  <si>
    <t>Practice-based view</t>
  </si>
  <si>
    <t xml:space="preserve"> https://doi.org/10.1108/JMTM-04-2024-0206</t>
  </si>
  <si>
    <t>Liu M., Supasettaysa G.; Taiwan A.</t>
  </si>
  <si>
    <t>Company performance</t>
  </si>
  <si>
    <t xml:space="preserve"> https://doi.org/10.33168/JLISS.2025.0215</t>
  </si>
  <si>
    <t>Wu X.; Tang Y.; Fang X.; Xu Y.; Qiao S.</t>
  </si>
  <si>
    <t>Resource-based view/Dynamic Capabilities</t>
  </si>
  <si>
    <t xml:space="preserve"> https://doi.org/10.1109/ACCESS.2025.3538635</t>
  </si>
  <si>
    <t>Turkcan H.; Akgün A.E.; Imamoglu S.Z.; Ince H.</t>
  </si>
  <si>
    <t xml:space="preserve"> https://doi.org/10.1108/JMTM-04-2025-0297</t>
  </si>
  <si>
    <t>Yang Z.; Rongrong P.</t>
  </si>
  <si>
    <t>Synergy theory</t>
  </si>
  <si>
    <t>ESG performance</t>
  </si>
  <si>
    <t xml:space="preserve"> https://doi.org/10.1108/JBIM-01-2025-0014</t>
  </si>
  <si>
    <t>https://doi.org/10.1016/j.ijpe.2024.109411</t>
  </si>
  <si>
    <t>Yang et al., 2025</t>
  </si>
  <si>
    <t>Imran et al., 2025</t>
  </si>
  <si>
    <t>Liu et al., 2025</t>
  </si>
  <si>
    <t>Wu et al., 2025</t>
  </si>
  <si>
    <t>Turkcan et al., 2025</t>
  </si>
  <si>
    <t>Yang and Pan, 2026</t>
  </si>
  <si>
    <t>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</si>
</sst>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
  </numFmts>
  <fonts count="8" x14ac:knownFonts="1">
    <font>
      <sz val="11"/>
      <color theme="1"/>
      <name val="Calibri"/>
      <family val="2"/>
      <scheme val="minor"/>
    </font>
    <font>
      <b/>
      <sz val="11"/>
      <color theme="1"/>
      <name val="Calibri"/>
      <family val="2"/>
      <scheme val="minor"/>
    </font>
    <font>
      <u/>
      <sz val="11"/>
      <color theme="10"/>
      <name val="Calibri"/>
      <family val="2"/>
    </font>
    <font>
      <sz val="11"/>
      <color rgb="FF000000"/>
      <name val="Calibri"/>
      <family val="2"/>
      <scheme val="minor"/>
    </font>
    <font>
      <sz val="11"/>
      <color theme="1"/>
      <name val="Calibri"/>
      <family val="2"/>
      <scheme val="minor"/>
    </font>
    <font>
      <b/>
      <sz val="10"/>
      <color theme="1"/>
      <name val="Calibri"/>
      <family val="2"/>
      <scheme val="minor"/>
    </font>
    <font>
      <sz val="10"/>
      <color theme="1"/>
      <name val="Calibri"/>
      <family val="2"/>
      <scheme val="minor"/>
    </font>
    <font>
      <u/>
      <sz val="10"/>
      <color theme="10"/>
      <name val="Calibri"/>
      <family val="2"/>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3">
    <xf numFmtId="0" fontId="0" fillId="0" borderId="0"/>
    <xf numFmtId="0" fontId="2" fillId="0" borderId="0" applyNumberFormat="0" applyFill="0" applyBorder="0" applyAlignment="0" applyProtection="0">
      <alignment vertical="top"/>
      <protection locked="0"/>
    </xf>
    <xf numFmtId="9" fontId="4" fillId="0" borderId="0" applyFont="0" applyFill="0" applyBorder="0" applyAlignment="0" applyProtection="0"/>
  </cellStyleXfs>
  <cellXfs count="14">
    <xf numFmtId="0" fontId="0" fillId="0" borderId="0" xfId="0"/>
    <xf numFmtId="0" fontId="1" fillId="0" borderId="1" xfId="0" applyFont="1" applyBorder="1" applyAlignment="1">
      <alignment horizontal="center" vertical="top"/>
    </xf>
    <xf numFmtId="0" fontId="1" fillId="0" borderId="0" xfId="0" applyFont="1" applyAlignment="1">
      <alignment horizontal="center" vertical="center" wrapText="1"/>
    </xf>
    <xf numFmtId="0" fontId="0" fillId="0" borderId="0" xfId="0" applyAlignment="1">
      <alignment horizontal="center"/>
    </xf>
    <xf numFmtId="0" fontId="0" fillId="0" borderId="0" xfId="0" applyAlignment="1">
      <alignment vertical="center" wrapText="1"/>
    </xf>
    <xf numFmtId="0" fontId="3" fillId="0" borderId="0" xfId="0" applyFont="1" applyAlignment="1">
      <alignment vertical="center"/>
    </xf>
    <xf numFmtId="2" fontId="0" fillId="0" borderId="0" xfId="0" applyNumberFormat="1"/>
    <xf numFmtId="2" fontId="0" fillId="0" borderId="0" xfId="2" applyNumberFormat="1" applyFont="1"/>
    <xf numFmtId="0" fontId="5" fillId="0" borderId="1" xfId="0" applyFont="1" applyBorder="1" applyAlignment="1">
      <alignment horizontal="center" vertical="top"/>
    </xf>
    <xf numFmtId="0" fontId="5" fillId="0" borderId="2" xfId="0" applyFont="1" applyBorder="1" applyAlignment="1">
      <alignment horizontal="center" vertical="top"/>
    </xf>
    <xf numFmtId="0" fontId="6" fillId="0" borderId="0" xfId="0" applyFont="1" applyAlignment="1">
      <alignment horizontal="center"/>
    </xf>
    <xf numFmtId="0" fontId="7" fillId="0" borderId="0" xfId="1" applyFont="1" applyAlignment="1" applyProtection="1">
      <alignment horizontal="center"/>
    </xf>
    <xf numFmtId="2" fontId="6" fillId="0" borderId="0" xfId="0" applyNumberFormat="1" applyFont="1" applyAlignment="1">
      <alignment horizontal="center"/>
    </xf>
    <xf numFmtId="164" fontId="6" fillId="0" borderId="0" xfId="0" applyNumberFormat="1" applyFont="1" applyAlignment="1">
      <alignment horizontal="center"/>
    </xf>
  </cellXfs>
  <cellStyles count="3">
    <cellStyle name="Hyperlink" xfId="1" builtinId="8"/>
    <cellStyle name="Normal" xfId="0" builtinId="0"/>
    <cellStyle name="Percent" xfId="2"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doi.org/10.1108/JBIM-02-2020-0082" TargetMode="External"/><Relationship Id="rId21" Type="http://schemas.openxmlformats.org/officeDocument/2006/relationships/hyperlink" Target="https://doi.org/10.1016/j.techfore.2022.121830" TargetMode="External"/><Relationship Id="rId42" Type="http://schemas.openxmlformats.org/officeDocument/2006/relationships/hyperlink" Target="https://doi.org/10.1177/0958305X231167470" TargetMode="External"/><Relationship Id="rId47" Type="http://schemas.openxmlformats.org/officeDocument/2006/relationships/hyperlink" Target="https://doi.org/10.1080/09537287.2023.2229263" TargetMode="External"/><Relationship Id="rId63" Type="http://schemas.openxmlformats.org/officeDocument/2006/relationships/hyperlink" Target="https://doi.org/10.1016/j.ijpe.2024.109228" TargetMode="External"/><Relationship Id="rId68" Type="http://schemas.openxmlformats.org/officeDocument/2006/relationships/hyperlink" Target="https://doi.org/10.1108/BPMJ-02-2024-0075" TargetMode="External"/><Relationship Id="rId2" Type="http://schemas.openxmlformats.org/officeDocument/2006/relationships/hyperlink" Target="https://doi.org/10.2478/emj-2020-0031" TargetMode="External"/><Relationship Id="rId16" Type="http://schemas.openxmlformats.org/officeDocument/2006/relationships/hyperlink" Target="https://doi.org/10.1108/JMTM-08-2021-0317" TargetMode="External"/><Relationship Id="rId29" Type="http://schemas.openxmlformats.org/officeDocument/2006/relationships/hyperlink" Target="https://doi.org/10.1108/IMR-11-2021-0325" TargetMode="External"/><Relationship Id="rId11" Type="http://schemas.openxmlformats.org/officeDocument/2006/relationships/hyperlink" Target="https://doi.org/10.1016/j.ijpe.2021.108175" TargetMode="External"/><Relationship Id="rId24" Type="http://schemas.openxmlformats.org/officeDocument/2006/relationships/hyperlink" Target="https://doi.org/10.1016/j.techfore.2022.121996" TargetMode="External"/><Relationship Id="rId32" Type="http://schemas.openxmlformats.org/officeDocument/2006/relationships/hyperlink" Target="https://doi.org/10.1016/j.indmarman.2023.09.005" TargetMode="External"/><Relationship Id="rId37" Type="http://schemas.openxmlformats.org/officeDocument/2006/relationships/hyperlink" Target="https://doi.org/10.1016/j.indmarman.2023.08.014" TargetMode="External"/><Relationship Id="rId40" Type="http://schemas.openxmlformats.org/officeDocument/2006/relationships/hyperlink" Target="https://doi.org/10.1108/IJPDLM-12-2021-0538" TargetMode="External"/><Relationship Id="rId45" Type="http://schemas.openxmlformats.org/officeDocument/2006/relationships/hyperlink" Target="https://doi.org/10.3390/su15139974" TargetMode="External"/><Relationship Id="rId53" Type="http://schemas.openxmlformats.org/officeDocument/2006/relationships/hyperlink" Target="https://doi.org/10.3390/su16146181" TargetMode="External"/><Relationship Id="rId58" Type="http://schemas.openxmlformats.org/officeDocument/2006/relationships/hyperlink" Target="https://doi.org/10.1016/j.technovation.2023.102922" TargetMode="External"/><Relationship Id="rId66" Type="http://schemas.openxmlformats.org/officeDocument/2006/relationships/hyperlink" Target="https://doi.org/10.1108/JBIM-07-2022-0308" TargetMode="External"/><Relationship Id="rId74" Type="http://schemas.openxmlformats.org/officeDocument/2006/relationships/printerSettings" Target="../printerSettings/printerSettings1.bin"/><Relationship Id="rId5" Type="http://schemas.openxmlformats.org/officeDocument/2006/relationships/hyperlink" Target="https://doi.org/10.1080/09537287.2020.1780508" TargetMode="External"/><Relationship Id="rId61" Type="http://schemas.openxmlformats.org/officeDocument/2006/relationships/hyperlink" Target="https://doi.org/10.1016/j.jclepro.2024.142078" TargetMode="External"/><Relationship Id="rId19" Type="http://schemas.openxmlformats.org/officeDocument/2006/relationships/hyperlink" Target="https://doi.org/10.1108/JBIM-02-2020-0100" TargetMode="External"/><Relationship Id="rId14" Type="http://schemas.openxmlformats.org/officeDocument/2006/relationships/hyperlink" Target="https://doi.org/10.1016/j.emj.2022.05.003" TargetMode="External"/><Relationship Id="rId22" Type="http://schemas.openxmlformats.org/officeDocument/2006/relationships/hyperlink" Target="https://doi.org/10.1016/j.techfore.2022.121830" TargetMode="External"/><Relationship Id="rId27" Type="http://schemas.openxmlformats.org/officeDocument/2006/relationships/hyperlink" Target="https://doi.org/10.1108/JBIM-02-2020-0082" TargetMode="External"/><Relationship Id="rId30" Type="http://schemas.openxmlformats.org/officeDocument/2006/relationships/hyperlink" Target="https://doi.org/10.1016/j.techfore.2023.122901" TargetMode="External"/><Relationship Id="rId35" Type="http://schemas.openxmlformats.org/officeDocument/2006/relationships/hyperlink" Target="https://doi.org/10.1108/EJM-11-2021-0914" TargetMode="External"/><Relationship Id="rId43" Type="http://schemas.openxmlformats.org/officeDocument/2006/relationships/hyperlink" Target="https://doi.org/10.1177/0958305X231167470" TargetMode="External"/><Relationship Id="rId48" Type="http://schemas.openxmlformats.org/officeDocument/2006/relationships/hyperlink" Target="https://doi.org/10.1080/09537287.2023.2229263" TargetMode="External"/><Relationship Id="rId56" Type="http://schemas.openxmlformats.org/officeDocument/2006/relationships/hyperlink" Target="https://doi.org/10.1016/j.heliyon.2024.e33520" TargetMode="External"/><Relationship Id="rId64" Type="http://schemas.openxmlformats.org/officeDocument/2006/relationships/hyperlink" Target="https://doi.org/10.1016/j.ijpe.2024.109228" TargetMode="External"/><Relationship Id="rId69" Type="http://schemas.openxmlformats.org/officeDocument/2006/relationships/hyperlink" Target="https://doi.org/10.1108/JMTM-04-2024-0206" TargetMode="External"/><Relationship Id="rId8" Type="http://schemas.openxmlformats.org/officeDocument/2006/relationships/hyperlink" Target="https://doi.org/10.1080/09537287.2020.1718793" TargetMode="External"/><Relationship Id="rId51" Type="http://schemas.openxmlformats.org/officeDocument/2006/relationships/hyperlink" Target="https://doi.org/10.1016/j.technovation.2023.102915" TargetMode="External"/><Relationship Id="rId72" Type="http://schemas.openxmlformats.org/officeDocument/2006/relationships/hyperlink" Target="https://doi.org/10.1108/JMTM-04-2025-0297" TargetMode="External"/><Relationship Id="rId3" Type="http://schemas.openxmlformats.org/officeDocument/2006/relationships/hyperlink" Target="https://doi.org/10.1016/j.techfore.2019.119804" TargetMode="External"/><Relationship Id="rId12" Type="http://schemas.openxmlformats.org/officeDocument/2006/relationships/hyperlink" Target="https://doi.org/10.1016/j.ijpe.2021.108175" TargetMode="External"/><Relationship Id="rId17" Type="http://schemas.openxmlformats.org/officeDocument/2006/relationships/hyperlink" Target="https://doi.org/10.1016/j.techfore.2022.121894" TargetMode="External"/><Relationship Id="rId25" Type="http://schemas.openxmlformats.org/officeDocument/2006/relationships/hyperlink" Target="https://dx.doi.org/10.5755/j01.ee.33.4.29649" TargetMode="External"/><Relationship Id="rId33" Type="http://schemas.openxmlformats.org/officeDocument/2006/relationships/hyperlink" Target="https://doi.org/10.1016/j.indmarman.2023.09.005" TargetMode="External"/><Relationship Id="rId38" Type="http://schemas.openxmlformats.org/officeDocument/2006/relationships/hyperlink" Target="https://doi.org/10.1108/IJPDLM-12-2021-0538" TargetMode="External"/><Relationship Id="rId46" Type="http://schemas.openxmlformats.org/officeDocument/2006/relationships/hyperlink" Target="https://doi.org/10.3390/su151310644" TargetMode="External"/><Relationship Id="rId59" Type="http://schemas.openxmlformats.org/officeDocument/2006/relationships/hyperlink" Target="https://doi.org/10.1016/j.jclepro.2024.142078" TargetMode="External"/><Relationship Id="rId67" Type="http://schemas.openxmlformats.org/officeDocument/2006/relationships/hyperlink" Target="https://doi.org/10.1108/JBIM-07-2022-0308" TargetMode="External"/><Relationship Id="rId20" Type="http://schemas.openxmlformats.org/officeDocument/2006/relationships/hyperlink" Target="https://doi.org/10.1016/j.techfore.2022.121830" TargetMode="External"/><Relationship Id="rId41" Type="http://schemas.openxmlformats.org/officeDocument/2006/relationships/hyperlink" Target="https://doi.org/10.1111/jpim.12680" TargetMode="External"/><Relationship Id="rId54" Type="http://schemas.openxmlformats.org/officeDocument/2006/relationships/hyperlink" Target="https://doi.org/10.1016/j.techfore.2024.123614" TargetMode="External"/><Relationship Id="rId62" Type="http://schemas.openxmlformats.org/officeDocument/2006/relationships/hyperlink" Target="https://doi.org/10.1016/j.jclepro.2024.142078" TargetMode="External"/><Relationship Id="rId70" Type="http://schemas.openxmlformats.org/officeDocument/2006/relationships/hyperlink" Target="https://doi.org/10.33168/JLISS.2025.0215" TargetMode="External"/><Relationship Id="rId1" Type="http://schemas.openxmlformats.org/officeDocument/2006/relationships/hyperlink" Target="https://doi.org/10.3390/su10051524" TargetMode="External"/><Relationship Id="rId6" Type="http://schemas.openxmlformats.org/officeDocument/2006/relationships/hyperlink" Target="https://doi.org/10.1016/j.technovation.2021.102275" TargetMode="External"/><Relationship Id="rId15" Type="http://schemas.openxmlformats.org/officeDocument/2006/relationships/hyperlink" Target="https://doi.org/10.1016/j.emj.2022.05.003" TargetMode="External"/><Relationship Id="rId23" Type="http://schemas.openxmlformats.org/officeDocument/2006/relationships/hyperlink" Target="https://doi.org/10.1016/j.techfore.2022.121996" TargetMode="External"/><Relationship Id="rId28" Type="http://schemas.openxmlformats.org/officeDocument/2006/relationships/hyperlink" Target="https://doi.org/10.1108/IMR-11-2021-0325" TargetMode="External"/><Relationship Id="rId36" Type="http://schemas.openxmlformats.org/officeDocument/2006/relationships/hyperlink" Target="https://doi.org/10.1108/EJM-11-2021-0914" TargetMode="External"/><Relationship Id="rId49" Type="http://schemas.openxmlformats.org/officeDocument/2006/relationships/hyperlink" Target="https://doi.org/10.1016/j.tre.2024.103625" TargetMode="External"/><Relationship Id="rId57" Type="http://schemas.openxmlformats.org/officeDocument/2006/relationships/hyperlink" Target="https://doi.org/10.1108/JSTP-07-2023-0200" TargetMode="External"/><Relationship Id="rId10" Type="http://schemas.openxmlformats.org/officeDocument/2006/relationships/hyperlink" Target="https://doi.org/10.3390/su13179878" TargetMode="External"/><Relationship Id="rId31" Type="http://schemas.openxmlformats.org/officeDocument/2006/relationships/hyperlink" Target="https://doi.org/10.1016/j.techfore.2023.122901" TargetMode="External"/><Relationship Id="rId44" Type="http://schemas.openxmlformats.org/officeDocument/2006/relationships/hyperlink" Target="https://doi.org/10.1016/j.eneco.2023.106706" TargetMode="External"/><Relationship Id="rId52" Type="http://schemas.openxmlformats.org/officeDocument/2006/relationships/hyperlink" Target="https://doi.org/10.1016/j.technovation.2023.102915" TargetMode="External"/><Relationship Id="rId60" Type="http://schemas.openxmlformats.org/officeDocument/2006/relationships/hyperlink" Target="https://doi.org/10.1016/j.jclepro.2024.142078" TargetMode="External"/><Relationship Id="rId65" Type="http://schemas.openxmlformats.org/officeDocument/2006/relationships/hyperlink" Target="https://doi.org/10.1504/IJTM.2024.135232" TargetMode="External"/><Relationship Id="rId73" Type="http://schemas.openxmlformats.org/officeDocument/2006/relationships/hyperlink" Target="https://doi.org/10.1108/JBIM-01-2025-0014" TargetMode="External"/><Relationship Id="rId4" Type="http://schemas.openxmlformats.org/officeDocument/2006/relationships/hyperlink" Target="https://doi.org/10.1108/JBIM-12-2018-0400" TargetMode="External"/><Relationship Id="rId9" Type="http://schemas.openxmlformats.org/officeDocument/2006/relationships/hyperlink" Target="https://doi.org/10.1016/j.jbusres.2021.03.048" TargetMode="External"/><Relationship Id="rId13" Type="http://schemas.openxmlformats.org/officeDocument/2006/relationships/hyperlink" Target="https://doi.org/10.1108/JMTM-05-2021-0168" TargetMode="External"/><Relationship Id="rId18" Type="http://schemas.openxmlformats.org/officeDocument/2006/relationships/hyperlink" Target="https://doi.org/10.1016/j.techfore.2022.121894" TargetMode="External"/><Relationship Id="rId39" Type="http://schemas.openxmlformats.org/officeDocument/2006/relationships/hyperlink" Target="https://doi.org/10.1108/IJPDLM-12-2021-0538" TargetMode="External"/><Relationship Id="rId34" Type="http://schemas.openxmlformats.org/officeDocument/2006/relationships/hyperlink" Target="https://doi.org/10.1016/j.indmarman.2023.09.005" TargetMode="External"/><Relationship Id="rId50" Type="http://schemas.openxmlformats.org/officeDocument/2006/relationships/hyperlink" Target="https://doi.org/10.1016/j.tre.2024.103625" TargetMode="External"/><Relationship Id="rId55" Type="http://schemas.openxmlformats.org/officeDocument/2006/relationships/hyperlink" Target="https://doi.org/10.3390/su16072655" TargetMode="External"/><Relationship Id="rId7" Type="http://schemas.openxmlformats.org/officeDocument/2006/relationships/hyperlink" Target="https://doi.org/10.1007/s11747-020-00739-x" TargetMode="External"/><Relationship Id="rId71" Type="http://schemas.openxmlformats.org/officeDocument/2006/relationships/hyperlink" Target="https://doi.org/10.1109/ACCESS.2025.3538635"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79"/>
  <sheetViews>
    <sheetView tabSelected="1" topLeftCell="H1" zoomScale="130" zoomScaleNormal="130" workbookViewId="0">
      <selection activeCell="H2" sqref="H2"/>
    </sheetView>
  </sheetViews>
  <sheetFormatPr defaultColWidth="8.81640625" defaultRowHeight="14.5" x14ac:dyDescent="0.35"/>
  <cols>
    <col min="1" max="2" width="8.81640625" style="10"/>
    <col min="3" max="3" width="26.26953125" style="10" customWidth="1"/>
    <col min="4" max="4" width="48.81640625" style="10" bestFit="1" customWidth="1"/>
    <col min="5" max="5" width="45.08984375" style="10" bestFit="1" customWidth="1"/>
    <col min="6" max="6" width="54.36328125" style="10" bestFit="1" customWidth="1"/>
    <col min="7" max="7" width="255.6328125" style="10" bestFit="1" customWidth="1"/>
    <col min="8" max="9" width="28.81640625" style="10" customWidth="1"/>
    <col min="10" max="10" width="12.26953125" style="10" customWidth="1"/>
    <col min="11" max="11" width="8.81640625" style="10"/>
    <col min="12" max="12" width="45.54296875" style="10" bestFit="1" customWidth="1"/>
    <col min="13" max="13" width="10.26953125" style="10" customWidth="1"/>
    <col min="14" max="14" width="27.81640625" style="10" bestFit="1" customWidth="1"/>
    <col min="15" max="15" width="38.54296875" style="10" bestFit="1" customWidth="1"/>
    <col min="16" max="16" width="27.81640625" style="10" bestFit="1" customWidth="1"/>
    <col min="17" max="17" width="12.26953125" style="10" customWidth="1"/>
    <col min="18" max="18" width="15.453125" style="10" customWidth="1"/>
    <col min="19" max="19" width="11.81640625" style="10" bestFit="1" customWidth="1"/>
    <col min="20" max="20" width="56.1796875" style="10" bestFit="1" customWidth="1"/>
    <col min="21" max="28" width="8.81640625" style="10"/>
  </cols>
  <sheetData>
    <row r="1" spans="1:28" x14ac:dyDescent="0.35">
      <c r="A1" s="8" t="s">
        <v>0</v>
      </c>
      <c r="B1" s="8" t="s">
        <v>510</v>
      </c>
      <c r="C1" s="8" t="s">
        <v>1</v>
      </c>
      <c r="D1" s="8" t="s">
        <v>313</v>
      </c>
      <c r="E1" s="8" t="s">
        <v>16</v>
      </c>
      <c r="F1" s="8" t="s">
        <v>2</v>
      </c>
      <c r="G1" s="8" t="s">
        <v>3</v>
      </c>
      <c r="H1" s="8" t="s">
        <v>4</v>
      </c>
      <c r="I1" s="8" t="s">
        <v>483</v>
      </c>
      <c r="J1" s="8" t="s">
        <v>481</v>
      </c>
      <c r="K1" s="8" t="s">
        <v>5</v>
      </c>
      <c r="L1" s="8" t="s">
        <v>6</v>
      </c>
      <c r="M1" s="8" t="s">
        <v>477</v>
      </c>
      <c r="N1" s="8" t="s">
        <v>7</v>
      </c>
      <c r="O1" s="8" t="s">
        <v>8</v>
      </c>
      <c r="P1" s="8" t="s">
        <v>9</v>
      </c>
      <c r="Q1" s="8" t="s">
        <v>473</v>
      </c>
      <c r="R1" s="8" t="s">
        <v>10</v>
      </c>
      <c r="S1" s="8" t="s">
        <v>472</v>
      </c>
      <c r="T1" s="8" t="s">
        <v>11</v>
      </c>
      <c r="U1" s="8" t="s">
        <v>12</v>
      </c>
      <c r="V1" s="8" t="s">
        <v>13</v>
      </c>
      <c r="W1" s="8" t="s">
        <v>14</v>
      </c>
      <c r="X1" s="8" t="s">
        <v>15</v>
      </c>
      <c r="Y1" s="8" t="s">
        <v>17</v>
      </c>
      <c r="Z1" s="8" t="s">
        <v>18</v>
      </c>
      <c r="AA1" s="9" t="s">
        <v>265</v>
      </c>
      <c r="AB1" s="9" t="s">
        <v>466</v>
      </c>
    </row>
    <row r="2" spans="1:28" x14ac:dyDescent="0.35">
      <c r="A2" s="10">
        <v>1</v>
      </c>
      <c r="B2" s="10">
        <v>1</v>
      </c>
      <c r="C2" s="10" t="s">
        <v>19</v>
      </c>
      <c r="D2" s="10" t="s">
        <v>267</v>
      </c>
      <c r="E2" s="11" t="s">
        <v>221</v>
      </c>
      <c r="F2" s="10" t="s">
        <v>64</v>
      </c>
      <c r="G2" s="10" t="s">
        <v>314</v>
      </c>
      <c r="H2" s="10" t="s">
        <v>93</v>
      </c>
      <c r="I2" s="10" t="str">
        <f>CONCATENATE("NACE", J2)</f>
        <v>NACE33</v>
      </c>
      <c r="J2" s="10">
        <v>33</v>
      </c>
      <c r="K2" s="10" t="s">
        <v>103</v>
      </c>
      <c r="L2" s="10" t="s">
        <v>106</v>
      </c>
      <c r="M2" s="10" t="s">
        <v>478</v>
      </c>
      <c r="N2" s="10" t="s">
        <v>106</v>
      </c>
      <c r="O2" s="10" t="s">
        <v>147</v>
      </c>
      <c r="P2" s="10" t="s">
        <v>152</v>
      </c>
      <c r="Q2" s="10" t="s">
        <v>476</v>
      </c>
      <c r="R2" s="10" t="s">
        <v>160</v>
      </c>
      <c r="S2" s="10" t="s">
        <v>467</v>
      </c>
      <c r="T2" s="10" t="s">
        <v>192</v>
      </c>
      <c r="U2" s="10">
        <v>0.14574489589650291</v>
      </c>
      <c r="V2" s="10">
        <v>228</v>
      </c>
      <c r="W2" s="10">
        <v>0</v>
      </c>
      <c r="X2" s="10">
        <v>2018</v>
      </c>
      <c r="Y2" s="10">
        <v>4.3859649122807024E-3</v>
      </c>
      <c r="Z2" s="10">
        <v>228</v>
      </c>
      <c r="AA2" s="10">
        <v>6.6226617853252193E-2</v>
      </c>
      <c r="AB2" s="12">
        <v>61.5</v>
      </c>
    </row>
    <row r="3" spans="1:28" x14ac:dyDescent="0.35">
      <c r="A3" s="10">
        <v>2</v>
      </c>
      <c r="B3" s="10">
        <v>2</v>
      </c>
      <c r="C3" s="10" t="s">
        <v>20</v>
      </c>
      <c r="D3" s="10" t="s">
        <v>266</v>
      </c>
      <c r="E3" s="11" t="s">
        <v>222</v>
      </c>
      <c r="F3" s="10" t="s">
        <v>65</v>
      </c>
      <c r="G3" s="10" t="s">
        <v>79</v>
      </c>
      <c r="H3" s="10" t="s">
        <v>94</v>
      </c>
      <c r="I3" s="10" t="str">
        <f t="shared" ref="I3:I66" si="0">CONCATENATE("NACE", J3)</f>
        <v>NACE33</v>
      </c>
      <c r="J3" s="10">
        <v>33</v>
      </c>
      <c r="K3" s="10" t="s">
        <v>104</v>
      </c>
      <c r="L3" s="10" t="s">
        <v>107</v>
      </c>
      <c r="M3" s="10" t="s">
        <v>478</v>
      </c>
      <c r="N3" s="10" t="s">
        <v>107</v>
      </c>
      <c r="O3" s="10" t="s">
        <v>148</v>
      </c>
      <c r="P3" s="10" t="s">
        <v>153</v>
      </c>
      <c r="Q3" s="10" t="s">
        <v>476</v>
      </c>
      <c r="R3" s="10" t="s">
        <v>161</v>
      </c>
      <c r="S3" s="10" t="s">
        <v>469</v>
      </c>
      <c r="T3" s="10" t="s">
        <v>193</v>
      </c>
      <c r="U3" s="10">
        <v>0.2221548413179705</v>
      </c>
      <c r="V3" s="10">
        <v>112</v>
      </c>
      <c r="W3" s="10">
        <v>0</v>
      </c>
      <c r="X3" s="10">
        <v>2020</v>
      </c>
      <c r="Y3" s="10">
        <v>8.9285714285714281E-3</v>
      </c>
      <c r="Z3" s="10">
        <v>112</v>
      </c>
      <c r="AA3" s="10">
        <v>9.4491118252306799E-2</v>
      </c>
      <c r="AB3" s="12">
        <v>57</v>
      </c>
    </row>
    <row r="4" spans="1:28" x14ac:dyDescent="0.35">
      <c r="A4" s="10">
        <v>3</v>
      </c>
      <c r="B4" s="10">
        <v>3</v>
      </c>
      <c r="C4" s="10" t="s">
        <v>21</v>
      </c>
      <c r="D4" s="10" t="s">
        <v>268</v>
      </c>
      <c r="E4" s="11" t="s">
        <v>223</v>
      </c>
      <c r="F4" s="10" t="s">
        <v>65</v>
      </c>
      <c r="G4" s="10" t="s">
        <v>80</v>
      </c>
      <c r="H4" s="10" t="s">
        <v>95</v>
      </c>
      <c r="I4" s="10" t="str">
        <f t="shared" si="0"/>
        <v>NACE33</v>
      </c>
      <c r="J4" s="10">
        <v>33</v>
      </c>
      <c r="K4" s="10" t="s">
        <v>104</v>
      </c>
      <c r="L4" s="10" t="s">
        <v>108</v>
      </c>
      <c r="M4" s="10" t="s">
        <v>479</v>
      </c>
      <c r="N4" s="10" t="s">
        <v>138</v>
      </c>
      <c r="O4" s="10" t="s">
        <v>149</v>
      </c>
      <c r="P4" s="10" t="s">
        <v>154</v>
      </c>
      <c r="Q4" s="10" t="s">
        <v>474</v>
      </c>
      <c r="R4" s="10" t="s">
        <v>162</v>
      </c>
      <c r="S4" s="10" t="s">
        <v>470</v>
      </c>
      <c r="T4" s="10" t="s">
        <v>194</v>
      </c>
      <c r="U4" s="10">
        <v>0.32</v>
      </c>
      <c r="V4" s="10">
        <v>131</v>
      </c>
      <c r="W4" s="10">
        <v>0</v>
      </c>
      <c r="X4" s="10">
        <v>2020</v>
      </c>
      <c r="Y4" s="10">
        <v>7.6335877862595417E-3</v>
      </c>
      <c r="Z4" s="10">
        <v>131</v>
      </c>
      <c r="AA4" s="10">
        <v>8.7370405666103795E-2</v>
      </c>
      <c r="AB4" s="12">
        <v>80</v>
      </c>
    </row>
    <row r="5" spans="1:28" x14ac:dyDescent="0.35">
      <c r="A5" s="10">
        <v>4</v>
      </c>
      <c r="B5" s="10">
        <v>4</v>
      </c>
      <c r="C5" s="10" t="s">
        <v>22</v>
      </c>
      <c r="D5" s="10" t="s">
        <v>269</v>
      </c>
      <c r="E5" s="11" t="s">
        <v>224</v>
      </c>
      <c r="F5" s="10" t="s">
        <v>65</v>
      </c>
      <c r="G5" s="10" t="s">
        <v>81</v>
      </c>
      <c r="H5" s="10" t="s">
        <v>95</v>
      </c>
      <c r="I5" s="10" t="str">
        <f t="shared" si="0"/>
        <v>NACE313233</v>
      </c>
      <c r="J5" s="10">
        <v>313233</v>
      </c>
      <c r="K5" s="10" t="s">
        <v>104</v>
      </c>
      <c r="L5" s="10" t="s">
        <v>108</v>
      </c>
      <c r="M5" s="10" t="s">
        <v>479</v>
      </c>
      <c r="N5" s="10" t="s">
        <v>138</v>
      </c>
      <c r="O5" s="10" t="s">
        <v>150</v>
      </c>
      <c r="P5" s="10" t="s">
        <v>154</v>
      </c>
      <c r="Q5" s="10" t="s">
        <v>475</v>
      </c>
      <c r="R5" s="10" t="s">
        <v>163</v>
      </c>
      <c r="S5" s="10" t="s">
        <v>470</v>
      </c>
      <c r="T5" s="10" t="s">
        <v>195</v>
      </c>
      <c r="U5" s="10">
        <v>1.4E-2</v>
      </c>
      <c r="V5" s="10">
        <v>828</v>
      </c>
      <c r="W5" s="10">
        <v>1</v>
      </c>
      <c r="X5" s="10">
        <v>2020</v>
      </c>
      <c r="Y5" s="10">
        <v>1.207729468599034E-3</v>
      </c>
      <c r="Z5" s="10">
        <v>828</v>
      </c>
      <c r="AA5" s="10">
        <v>3.4752402342845795E-2</v>
      </c>
      <c r="AB5" s="12">
        <v>61</v>
      </c>
    </row>
    <row r="6" spans="1:28" x14ac:dyDescent="0.35">
      <c r="A6" s="10">
        <v>5</v>
      </c>
      <c r="B6" s="10">
        <v>5</v>
      </c>
      <c r="C6" s="10" t="s">
        <v>23</v>
      </c>
      <c r="D6" s="10" t="s">
        <v>270</v>
      </c>
      <c r="E6" s="11" t="s">
        <v>225</v>
      </c>
      <c r="F6" s="10" t="s">
        <v>66</v>
      </c>
      <c r="G6" s="10" t="s">
        <v>317</v>
      </c>
      <c r="H6" s="10" t="s">
        <v>95</v>
      </c>
      <c r="I6" s="10" t="str">
        <f t="shared" si="0"/>
        <v>NACE313233</v>
      </c>
      <c r="J6" s="10">
        <v>313233</v>
      </c>
      <c r="K6" s="10" t="s">
        <v>104</v>
      </c>
      <c r="L6" s="10" t="s">
        <v>108</v>
      </c>
      <c r="M6" s="10" t="s">
        <v>479</v>
      </c>
      <c r="N6" s="10" t="s">
        <v>138</v>
      </c>
      <c r="O6" s="10" t="s">
        <v>149</v>
      </c>
      <c r="P6" s="10" t="s">
        <v>155</v>
      </c>
      <c r="Q6" s="10" t="s">
        <v>475</v>
      </c>
      <c r="R6" s="10" t="s">
        <v>163</v>
      </c>
      <c r="S6" s="10" t="s">
        <v>470</v>
      </c>
      <c r="T6" s="10" t="s">
        <v>196</v>
      </c>
      <c r="U6" s="10">
        <v>0.77</v>
      </c>
      <c r="V6" s="10">
        <v>185</v>
      </c>
      <c r="W6" s="10">
        <v>1</v>
      </c>
      <c r="X6" s="10">
        <v>2021</v>
      </c>
      <c r="Y6" s="10">
        <v>5.4054054054054057E-3</v>
      </c>
      <c r="Z6" s="10">
        <v>185</v>
      </c>
      <c r="AA6" s="10">
        <v>7.3521462209380772E-2</v>
      </c>
      <c r="AB6" s="12">
        <v>73</v>
      </c>
    </row>
    <row r="7" spans="1:28" x14ac:dyDescent="0.35">
      <c r="A7" s="10">
        <v>6</v>
      </c>
      <c r="B7" s="10">
        <v>6</v>
      </c>
      <c r="C7" s="10" t="s">
        <v>24</v>
      </c>
      <c r="D7" s="10" t="s">
        <v>271</v>
      </c>
      <c r="E7" s="11" t="s">
        <v>226</v>
      </c>
      <c r="F7" s="10" t="s">
        <v>65</v>
      </c>
      <c r="G7" s="10" t="s">
        <v>82</v>
      </c>
      <c r="H7" s="10" t="s">
        <v>95</v>
      </c>
      <c r="I7" s="10" t="str">
        <f t="shared" si="0"/>
        <v>NACE313233</v>
      </c>
      <c r="J7" s="10">
        <v>313233</v>
      </c>
      <c r="K7" s="10" t="s">
        <v>104</v>
      </c>
      <c r="L7" s="10" t="s">
        <v>109</v>
      </c>
      <c r="M7" s="10" t="s">
        <v>479</v>
      </c>
      <c r="N7" s="10" t="s">
        <v>139</v>
      </c>
      <c r="O7" s="10" t="s">
        <v>149</v>
      </c>
      <c r="P7" s="10" t="s">
        <v>156</v>
      </c>
      <c r="Q7" s="10" t="s">
        <v>476</v>
      </c>
      <c r="R7" s="10" t="s">
        <v>164</v>
      </c>
      <c r="S7" s="10" t="s">
        <v>470</v>
      </c>
      <c r="T7" s="10" t="s">
        <v>197</v>
      </c>
      <c r="U7" s="10">
        <v>0.13240347685465939</v>
      </c>
      <c r="V7" s="10">
        <v>747</v>
      </c>
      <c r="W7" s="10">
        <v>0</v>
      </c>
      <c r="X7" s="10">
        <v>2021</v>
      </c>
      <c r="Y7" s="10">
        <v>1.338688085676037E-3</v>
      </c>
      <c r="Z7" s="10">
        <v>747</v>
      </c>
      <c r="AA7" s="10">
        <v>3.6588086663230109E-2</v>
      </c>
      <c r="AB7" s="12">
        <v>62.56</v>
      </c>
    </row>
    <row r="8" spans="1:28" x14ac:dyDescent="0.35">
      <c r="A8" s="10">
        <v>7</v>
      </c>
      <c r="B8" s="10">
        <v>7</v>
      </c>
      <c r="C8" s="10" t="s">
        <v>25</v>
      </c>
      <c r="D8" s="10" t="s">
        <v>272</v>
      </c>
      <c r="E8" s="11" t="s">
        <v>227</v>
      </c>
      <c r="F8" s="10" t="s">
        <v>67</v>
      </c>
      <c r="G8" s="10" t="s">
        <v>83</v>
      </c>
      <c r="H8" s="10" t="s">
        <v>75</v>
      </c>
      <c r="I8" s="10" t="str">
        <f t="shared" si="0"/>
        <v>NACE33</v>
      </c>
      <c r="J8" s="10">
        <v>33</v>
      </c>
      <c r="K8" s="10" t="s">
        <v>104</v>
      </c>
      <c r="L8" s="10" t="s">
        <v>110</v>
      </c>
      <c r="M8" s="10" t="s">
        <v>479</v>
      </c>
      <c r="N8" s="10" t="s">
        <v>140</v>
      </c>
      <c r="O8" s="10" t="s">
        <v>150</v>
      </c>
      <c r="P8" s="10" t="s">
        <v>155</v>
      </c>
      <c r="Q8" s="10" t="s">
        <v>474</v>
      </c>
      <c r="R8" s="10" t="s">
        <v>165</v>
      </c>
      <c r="S8" s="10" t="s">
        <v>468</v>
      </c>
      <c r="T8" s="10" t="s">
        <v>198</v>
      </c>
      <c r="U8" s="10">
        <v>0.22600000000000001</v>
      </c>
      <c r="V8" s="10">
        <v>122</v>
      </c>
      <c r="W8" s="10">
        <v>1</v>
      </c>
      <c r="X8" s="10">
        <v>2021</v>
      </c>
      <c r="Y8" s="10">
        <v>8.1967213114754103E-3</v>
      </c>
      <c r="Z8" s="10">
        <v>122</v>
      </c>
      <c r="AA8" s="10">
        <v>9.0535746042518531E-2</v>
      </c>
      <c r="AB8" s="12">
        <v>60</v>
      </c>
    </row>
    <row r="9" spans="1:28" x14ac:dyDescent="0.35">
      <c r="A9" s="10">
        <v>8</v>
      </c>
      <c r="B9" s="10">
        <v>8</v>
      </c>
      <c r="C9" s="10" t="s">
        <v>26</v>
      </c>
      <c r="D9" s="10" t="s">
        <v>273</v>
      </c>
      <c r="E9" s="11" t="s">
        <v>228</v>
      </c>
      <c r="F9" s="10" t="s">
        <v>68</v>
      </c>
      <c r="G9" s="10" t="s">
        <v>315</v>
      </c>
      <c r="H9" s="10" t="s">
        <v>96</v>
      </c>
      <c r="I9" s="10" t="str">
        <f t="shared" si="0"/>
        <v>NACE32</v>
      </c>
      <c r="J9" s="10">
        <v>32</v>
      </c>
      <c r="K9" s="10" t="s">
        <v>105</v>
      </c>
      <c r="L9" s="10" t="s">
        <v>106</v>
      </c>
      <c r="M9" s="10" t="s">
        <v>478</v>
      </c>
      <c r="N9" s="10" t="s">
        <v>106</v>
      </c>
      <c r="O9" s="10" t="s">
        <v>147</v>
      </c>
      <c r="P9" s="10" t="s">
        <v>154</v>
      </c>
      <c r="Q9" s="10" t="s">
        <v>476</v>
      </c>
      <c r="R9" s="10" t="s">
        <v>166</v>
      </c>
      <c r="S9" s="10" t="s">
        <v>467</v>
      </c>
      <c r="T9" s="10" t="s">
        <v>199</v>
      </c>
      <c r="U9" s="10">
        <v>0.1999191429148979</v>
      </c>
      <c r="V9" s="10">
        <v>258</v>
      </c>
      <c r="W9" s="10">
        <v>0</v>
      </c>
      <c r="X9" s="10">
        <v>2021</v>
      </c>
      <c r="Y9" s="10">
        <v>3.875968992248062E-3</v>
      </c>
      <c r="Z9" s="10">
        <v>258</v>
      </c>
      <c r="AA9" s="10">
        <v>6.2257280636469035E-2</v>
      </c>
      <c r="AB9" s="12">
        <v>75</v>
      </c>
    </row>
    <row r="10" spans="1:28" x14ac:dyDescent="0.35">
      <c r="A10" s="10">
        <v>9</v>
      </c>
      <c r="B10" s="10">
        <v>9</v>
      </c>
      <c r="C10" s="10" t="s">
        <v>27</v>
      </c>
      <c r="D10" s="10" t="s">
        <v>274</v>
      </c>
      <c r="E10" s="11" t="s">
        <v>229</v>
      </c>
      <c r="F10" s="10" t="s">
        <v>65</v>
      </c>
      <c r="G10" s="10" t="s">
        <v>378</v>
      </c>
      <c r="H10" s="10" t="s">
        <v>98</v>
      </c>
      <c r="I10" s="10" t="str">
        <f t="shared" si="0"/>
        <v>NACE33</v>
      </c>
      <c r="J10" s="10">
        <v>33</v>
      </c>
      <c r="K10" s="10" t="s">
        <v>105</v>
      </c>
      <c r="L10" s="10" t="s">
        <v>111</v>
      </c>
      <c r="M10" s="10" t="s">
        <v>480</v>
      </c>
      <c r="N10" s="10" t="s">
        <v>111</v>
      </c>
      <c r="O10" s="10" t="s">
        <v>147</v>
      </c>
      <c r="P10" s="10" t="s">
        <v>154</v>
      </c>
      <c r="Q10" s="10" t="s">
        <v>476</v>
      </c>
      <c r="R10" s="10" t="s">
        <v>166</v>
      </c>
      <c r="S10" s="10" t="s">
        <v>470</v>
      </c>
      <c r="T10" s="10" t="s">
        <v>200</v>
      </c>
      <c r="U10" s="10">
        <v>1</v>
      </c>
      <c r="V10" s="10">
        <v>1566</v>
      </c>
      <c r="W10" s="10">
        <v>0</v>
      </c>
      <c r="X10" s="10">
        <v>2021</v>
      </c>
      <c r="Y10" s="10">
        <v>6.3856960408684551E-4</v>
      </c>
      <c r="Z10" s="10">
        <v>1566</v>
      </c>
      <c r="AA10" s="10">
        <v>2.5269934785963448E-2</v>
      </c>
      <c r="AB10" s="12">
        <v>51.75</v>
      </c>
    </row>
    <row r="11" spans="1:28" x14ac:dyDescent="0.35">
      <c r="A11" s="10">
        <v>10</v>
      </c>
      <c r="B11" s="10">
        <v>10</v>
      </c>
      <c r="C11" s="10" t="s">
        <v>28</v>
      </c>
      <c r="D11" s="10" t="s">
        <v>275</v>
      </c>
      <c r="E11" s="11" t="s">
        <v>230</v>
      </c>
      <c r="F11" s="10" t="s">
        <v>67</v>
      </c>
      <c r="G11" s="10" t="s">
        <v>84</v>
      </c>
      <c r="H11" s="10" t="s">
        <v>95</v>
      </c>
      <c r="I11" s="10" t="str">
        <f t="shared" si="0"/>
        <v>NACE313233</v>
      </c>
      <c r="J11" s="10">
        <v>313233</v>
      </c>
      <c r="K11" s="10" t="s">
        <v>105</v>
      </c>
      <c r="L11" s="10" t="s">
        <v>108</v>
      </c>
      <c r="M11" s="10" t="s">
        <v>479</v>
      </c>
      <c r="N11" s="10" t="s">
        <v>138</v>
      </c>
      <c r="O11" s="10" t="s">
        <v>150</v>
      </c>
      <c r="P11" s="10" t="s">
        <v>154</v>
      </c>
      <c r="Q11" s="10" t="s">
        <v>475</v>
      </c>
      <c r="R11" s="10" t="s">
        <v>163</v>
      </c>
      <c r="S11" s="10" t="s">
        <v>469</v>
      </c>
      <c r="T11" s="10" t="s">
        <v>193</v>
      </c>
      <c r="U11" s="10">
        <v>0.5087932080048515</v>
      </c>
      <c r="V11" s="10">
        <v>1894</v>
      </c>
      <c r="W11" s="10">
        <v>0</v>
      </c>
      <c r="X11" s="10">
        <v>2021</v>
      </c>
      <c r="Y11" s="10">
        <v>5.2798310454065466E-4</v>
      </c>
      <c r="Z11" s="10">
        <v>1894</v>
      </c>
      <c r="AA11" s="10">
        <v>2.2977882942966148E-2</v>
      </c>
      <c r="AB11" s="12">
        <v>62</v>
      </c>
    </row>
    <row r="12" spans="1:28" x14ac:dyDescent="0.35">
      <c r="A12" s="10">
        <v>11</v>
      </c>
      <c r="B12" s="10">
        <v>11</v>
      </c>
      <c r="C12" s="10" t="s">
        <v>29</v>
      </c>
      <c r="D12" s="10" t="s">
        <v>276</v>
      </c>
      <c r="E12" s="11" t="s">
        <v>231</v>
      </c>
      <c r="F12" s="10" t="s">
        <v>68</v>
      </c>
      <c r="G12" s="10" t="s">
        <v>84</v>
      </c>
      <c r="H12" s="10" t="s">
        <v>95</v>
      </c>
      <c r="I12" s="10" t="str">
        <f t="shared" si="0"/>
        <v>NACE313233</v>
      </c>
      <c r="J12" s="10">
        <v>313233</v>
      </c>
      <c r="K12" s="10" t="s">
        <v>104</v>
      </c>
      <c r="L12" s="10" t="s">
        <v>108</v>
      </c>
      <c r="M12" s="10" t="s">
        <v>480</v>
      </c>
      <c r="N12" s="10" t="s">
        <v>141</v>
      </c>
      <c r="O12" s="10" t="s">
        <v>150</v>
      </c>
      <c r="P12" s="10" t="s">
        <v>154</v>
      </c>
      <c r="Q12" s="10" t="s">
        <v>474</v>
      </c>
      <c r="R12" s="10" t="s">
        <v>167</v>
      </c>
      <c r="S12" s="10" t="s">
        <v>470</v>
      </c>
      <c r="T12" s="10" t="s">
        <v>201</v>
      </c>
      <c r="U12" s="10">
        <v>0.14109561350313321</v>
      </c>
      <c r="V12" s="10">
        <v>257</v>
      </c>
      <c r="W12" s="10">
        <v>0</v>
      </c>
      <c r="X12" s="10">
        <v>2021</v>
      </c>
      <c r="Y12" s="10">
        <v>3.891050583657588E-3</v>
      </c>
      <c r="Z12" s="10">
        <v>257</v>
      </c>
      <c r="AA12" s="10">
        <v>6.237828615518054E-2</v>
      </c>
      <c r="AB12" s="12">
        <v>62</v>
      </c>
    </row>
    <row r="13" spans="1:28" x14ac:dyDescent="0.35">
      <c r="A13" s="10">
        <v>12</v>
      </c>
      <c r="B13" s="10">
        <v>11</v>
      </c>
      <c r="C13" s="10" t="s">
        <v>29</v>
      </c>
      <c r="D13" s="10" t="s">
        <v>276</v>
      </c>
      <c r="E13" s="11" t="s">
        <v>231</v>
      </c>
      <c r="F13" s="10" t="s">
        <v>68</v>
      </c>
      <c r="G13" s="10" t="s">
        <v>84</v>
      </c>
      <c r="H13" s="10" t="s">
        <v>95</v>
      </c>
      <c r="I13" s="10" t="str">
        <f t="shared" si="0"/>
        <v>NACE313233</v>
      </c>
      <c r="J13" s="10">
        <v>313233</v>
      </c>
      <c r="K13" s="10" t="s">
        <v>104</v>
      </c>
      <c r="L13" s="10" t="s">
        <v>108</v>
      </c>
      <c r="M13" s="10" t="s">
        <v>480</v>
      </c>
      <c r="N13" s="10" t="s">
        <v>141</v>
      </c>
      <c r="O13" s="10" t="s">
        <v>150</v>
      </c>
      <c r="P13" s="10" t="s">
        <v>154</v>
      </c>
      <c r="Q13" s="10" t="s">
        <v>474</v>
      </c>
      <c r="R13" s="10" t="s">
        <v>168</v>
      </c>
      <c r="S13" s="10" t="s">
        <v>470</v>
      </c>
      <c r="T13" s="10" t="s">
        <v>201</v>
      </c>
      <c r="U13" s="10">
        <v>5.5184960582171018E-2</v>
      </c>
      <c r="V13" s="10">
        <v>257</v>
      </c>
      <c r="W13" s="10">
        <v>0</v>
      </c>
      <c r="X13" s="10">
        <v>2021</v>
      </c>
      <c r="Y13" s="10">
        <v>3.891050583657588E-3</v>
      </c>
      <c r="Z13" s="10">
        <v>257</v>
      </c>
      <c r="AA13" s="10">
        <v>6.237828615518054E-2</v>
      </c>
      <c r="AB13" s="12">
        <v>62</v>
      </c>
    </row>
    <row r="14" spans="1:28" x14ac:dyDescent="0.35">
      <c r="A14" s="10">
        <v>13</v>
      </c>
      <c r="B14" s="10">
        <v>12</v>
      </c>
      <c r="C14" s="10" t="s">
        <v>30</v>
      </c>
      <c r="D14" s="10" t="s">
        <v>277</v>
      </c>
      <c r="E14" s="11" t="s">
        <v>232</v>
      </c>
      <c r="F14" s="10" t="s">
        <v>69</v>
      </c>
      <c r="G14" s="10" t="s">
        <v>316</v>
      </c>
      <c r="H14" s="10" t="s">
        <v>95</v>
      </c>
      <c r="I14" s="10" t="str">
        <f t="shared" si="0"/>
        <v>NACE313233</v>
      </c>
      <c r="J14" s="10">
        <v>313233</v>
      </c>
      <c r="K14" s="10" t="s">
        <v>104</v>
      </c>
      <c r="L14" s="10" t="s">
        <v>112</v>
      </c>
      <c r="M14" s="10" t="s">
        <v>478</v>
      </c>
      <c r="N14" s="10" t="s">
        <v>112</v>
      </c>
      <c r="O14" s="10" t="s">
        <v>151</v>
      </c>
      <c r="P14" s="10" t="s">
        <v>157</v>
      </c>
      <c r="Q14" s="10" t="s">
        <v>476</v>
      </c>
      <c r="R14" s="10" t="s">
        <v>166</v>
      </c>
      <c r="S14" s="10" t="s">
        <v>468</v>
      </c>
      <c r="T14" s="10" t="s">
        <v>202</v>
      </c>
      <c r="U14" s="10">
        <v>0.7630887406508996</v>
      </c>
      <c r="V14" s="10">
        <v>137</v>
      </c>
      <c r="W14" s="10">
        <v>0</v>
      </c>
      <c r="X14" s="10">
        <v>2022</v>
      </c>
      <c r="Y14" s="10">
        <v>7.2992700729926996E-3</v>
      </c>
      <c r="Z14" s="10">
        <v>137</v>
      </c>
      <c r="AA14" s="10">
        <v>8.5435765771676095E-2</v>
      </c>
      <c r="AB14" s="12">
        <v>76.5</v>
      </c>
    </row>
    <row r="15" spans="1:28" x14ac:dyDescent="0.35">
      <c r="A15" s="10">
        <v>14</v>
      </c>
      <c r="B15" s="10">
        <v>13</v>
      </c>
      <c r="C15" s="10" t="s">
        <v>31</v>
      </c>
      <c r="D15" s="10" t="s">
        <v>278</v>
      </c>
      <c r="E15" s="11" t="s">
        <v>233</v>
      </c>
      <c r="F15" s="10" t="s">
        <v>65</v>
      </c>
      <c r="G15" s="10" t="s">
        <v>83</v>
      </c>
      <c r="H15" s="10" t="s">
        <v>95</v>
      </c>
      <c r="I15" s="10" t="str">
        <f t="shared" si="0"/>
        <v>NACE313233</v>
      </c>
      <c r="J15" s="10">
        <v>313233</v>
      </c>
      <c r="K15" s="10" t="s">
        <v>104</v>
      </c>
      <c r="L15" s="10" t="s">
        <v>113</v>
      </c>
      <c r="M15" s="10" t="s">
        <v>479</v>
      </c>
      <c r="N15" s="10" t="s">
        <v>138</v>
      </c>
      <c r="O15" s="10" t="s">
        <v>149</v>
      </c>
      <c r="P15" s="10" t="s">
        <v>158</v>
      </c>
      <c r="Q15" s="10" t="s">
        <v>475</v>
      </c>
      <c r="R15" s="10" t="s">
        <v>163</v>
      </c>
      <c r="S15" s="10" t="s">
        <v>468</v>
      </c>
      <c r="T15" s="10" t="s">
        <v>203</v>
      </c>
      <c r="U15" s="10">
        <v>0.40100000000000002</v>
      </c>
      <c r="V15" s="10">
        <v>257</v>
      </c>
      <c r="W15" s="10">
        <v>1</v>
      </c>
      <c r="X15" s="10">
        <v>2022</v>
      </c>
      <c r="Y15" s="10">
        <v>3.891050583657588E-3</v>
      </c>
      <c r="Z15" s="10">
        <v>257</v>
      </c>
      <c r="AA15" s="10">
        <v>6.237828615518054E-2</v>
      </c>
      <c r="AB15" s="12">
        <v>60</v>
      </c>
    </row>
    <row r="16" spans="1:28" x14ac:dyDescent="0.35">
      <c r="A16" s="10">
        <v>15</v>
      </c>
      <c r="B16" s="10">
        <v>13</v>
      </c>
      <c r="C16" s="10" t="s">
        <v>31</v>
      </c>
      <c r="D16" s="10" t="s">
        <v>278</v>
      </c>
      <c r="E16" s="11" t="s">
        <v>233</v>
      </c>
      <c r="F16" s="10" t="s">
        <v>65</v>
      </c>
      <c r="G16" s="10" t="s">
        <v>83</v>
      </c>
      <c r="H16" s="10" t="s">
        <v>95</v>
      </c>
      <c r="I16" s="10" t="str">
        <f t="shared" si="0"/>
        <v>NACE313233</v>
      </c>
      <c r="J16" s="10">
        <v>313233</v>
      </c>
      <c r="K16" s="10" t="s">
        <v>104</v>
      </c>
      <c r="L16" s="10" t="s">
        <v>114</v>
      </c>
      <c r="M16" s="10" t="s">
        <v>479</v>
      </c>
      <c r="N16" s="10" t="s">
        <v>138</v>
      </c>
      <c r="O16" s="10" t="s">
        <v>149</v>
      </c>
      <c r="P16" s="10" t="s">
        <v>158</v>
      </c>
      <c r="Q16" s="10" t="s">
        <v>475</v>
      </c>
      <c r="R16" s="10" t="s">
        <v>163</v>
      </c>
      <c r="S16" s="10" t="s">
        <v>468</v>
      </c>
      <c r="T16" s="10" t="s">
        <v>203</v>
      </c>
      <c r="U16" s="10">
        <v>0.30199999999999999</v>
      </c>
      <c r="V16" s="10">
        <v>257</v>
      </c>
      <c r="W16" s="10">
        <v>1</v>
      </c>
      <c r="X16" s="10">
        <v>2022</v>
      </c>
      <c r="Y16" s="10">
        <v>3.891050583657588E-3</v>
      </c>
      <c r="Z16" s="10">
        <v>257</v>
      </c>
      <c r="AA16" s="10">
        <v>6.237828615518054E-2</v>
      </c>
      <c r="AB16" s="12">
        <v>60</v>
      </c>
    </row>
    <row r="17" spans="1:28" x14ac:dyDescent="0.35">
      <c r="A17" s="10">
        <v>16</v>
      </c>
      <c r="B17" s="10">
        <v>14</v>
      </c>
      <c r="C17" s="10" t="s">
        <v>32</v>
      </c>
      <c r="D17" s="10" t="s">
        <v>279</v>
      </c>
      <c r="E17" s="11" t="s">
        <v>234</v>
      </c>
      <c r="F17" s="10" t="s">
        <v>65</v>
      </c>
      <c r="G17" s="10" t="s">
        <v>83</v>
      </c>
      <c r="H17" s="10" t="s">
        <v>97</v>
      </c>
      <c r="I17" s="10" t="str">
        <f t="shared" si="0"/>
        <v>NACE33</v>
      </c>
      <c r="J17" s="10">
        <v>33</v>
      </c>
      <c r="K17" s="10" t="s">
        <v>104</v>
      </c>
      <c r="L17" s="10" t="s">
        <v>115</v>
      </c>
      <c r="M17" s="10" t="s">
        <v>479</v>
      </c>
      <c r="N17" s="10" t="s">
        <v>138</v>
      </c>
      <c r="O17" s="10" t="s">
        <v>150</v>
      </c>
      <c r="P17" s="10" t="s">
        <v>154</v>
      </c>
      <c r="Q17" s="10" t="s">
        <v>474</v>
      </c>
      <c r="R17" s="10" t="s">
        <v>165</v>
      </c>
      <c r="S17" s="10" t="s">
        <v>470</v>
      </c>
      <c r="T17" s="10" t="s">
        <v>195</v>
      </c>
      <c r="U17" s="10">
        <v>0.39300000000000002</v>
      </c>
      <c r="V17" s="10">
        <v>200</v>
      </c>
      <c r="W17" s="10">
        <v>1</v>
      </c>
      <c r="X17" s="10">
        <v>2022</v>
      </c>
      <c r="Y17" s="10">
        <v>5.0000000000000001E-3</v>
      </c>
      <c r="Z17" s="10">
        <v>200</v>
      </c>
      <c r="AA17" s="10">
        <v>7.0710678118654752E-2</v>
      </c>
      <c r="AB17" s="12">
        <v>60</v>
      </c>
    </row>
    <row r="18" spans="1:28" x14ac:dyDescent="0.35">
      <c r="A18" s="10">
        <v>17</v>
      </c>
      <c r="B18" s="10">
        <v>15</v>
      </c>
      <c r="C18" s="10" t="s">
        <v>33</v>
      </c>
      <c r="D18" s="10" t="s">
        <v>280</v>
      </c>
      <c r="E18" s="11" t="s">
        <v>235</v>
      </c>
      <c r="F18" s="10" t="s">
        <v>70</v>
      </c>
      <c r="G18" s="10" t="s">
        <v>85</v>
      </c>
      <c r="H18" s="10" t="s">
        <v>98</v>
      </c>
      <c r="I18" s="10" t="str">
        <f t="shared" si="0"/>
        <v>NACE33</v>
      </c>
      <c r="J18" s="10">
        <v>33</v>
      </c>
      <c r="K18" s="10" t="s">
        <v>104</v>
      </c>
      <c r="L18" s="10" t="s">
        <v>116</v>
      </c>
      <c r="M18" s="10" t="s">
        <v>478</v>
      </c>
      <c r="N18" s="10" t="s">
        <v>116</v>
      </c>
      <c r="O18" s="10" t="s">
        <v>147</v>
      </c>
      <c r="P18" s="10" t="s">
        <v>154</v>
      </c>
      <c r="Q18" s="10" t="s">
        <v>476</v>
      </c>
      <c r="R18" s="10" t="s">
        <v>166</v>
      </c>
      <c r="S18" s="10" t="s">
        <v>468</v>
      </c>
      <c r="T18" s="10" t="s">
        <v>204</v>
      </c>
      <c r="U18" s="10">
        <v>0.42399999999999999</v>
      </c>
      <c r="V18" s="10">
        <v>92</v>
      </c>
      <c r="W18" s="10">
        <v>1</v>
      </c>
      <c r="X18" s="10">
        <v>2022</v>
      </c>
      <c r="Y18" s="10">
        <v>1.0869565217391301E-2</v>
      </c>
      <c r="Z18" s="10">
        <v>92</v>
      </c>
      <c r="AA18" s="10">
        <v>0.10425720702853736</v>
      </c>
      <c r="AB18" s="12">
        <v>47</v>
      </c>
    </row>
    <row r="19" spans="1:28" x14ac:dyDescent="0.35">
      <c r="A19" s="10">
        <v>18</v>
      </c>
      <c r="B19" s="10">
        <v>15</v>
      </c>
      <c r="C19" s="10" t="s">
        <v>33</v>
      </c>
      <c r="D19" s="10" t="s">
        <v>280</v>
      </c>
      <c r="E19" s="11" t="s">
        <v>235</v>
      </c>
      <c r="F19" s="10" t="s">
        <v>70</v>
      </c>
      <c r="G19" s="10" t="s">
        <v>85</v>
      </c>
      <c r="H19" s="10" t="s">
        <v>98</v>
      </c>
      <c r="I19" s="10" t="str">
        <f t="shared" si="0"/>
        <v>NACE33</v>
      </c>
      <c r="J19" s="10">
        <v>33</v>
      </c>
      <c r="K19" s="10" t="s">
        <v>104</v>
      </c>
      <c r="L19" s="10" t="s">
        <v>117</v>
      </c>
      <c r="M19" s="10" t="s">
        <v>478</v>
      </c>
      <c r="N19" s="10" t="s">
        <v>117</v>
      </c>
      <c r="O19" s="10" t="s">
        <v>147</v>
      </c>
      <c r="P19" s="10" t="s">
        <v>154</v>
      </c>
      <c r="Q19" s="10" t="s">
        <v>476</v>
      </c>
      <c r="R19" s="10" t="s">
        <v>166</v>
      </c>
      <c r="S19" s="10" t="s">
        <v>468</v>
      </c>
      <c r="T19" s="10" t="s">
        <v>204</v>
      </c>
      <c r="U19" s="10">
        <v>0.21</v>
      </c>
      <c r="V19" s="10">
        <v>92</v>
      </c>
      <c r="W19" s="10">
        <v>1</v>
      </c>
      <c r="X19" s="10">
        <v>2022</v>
      </c>
      <c r="Y19" s="10">
        <v>1.0869565217391301E-2</v>
      </c>
      <c r="Z19" s="10">
        <v>92</v>
      </c>
      <c r="AA19" s="10">
        <v>0.10425720702853736</v>
      </c>
      <c r="AB19" s="12">
        <v>47</v>
      </c>
    </row>
    <row r="20" spans="1:28" x14ac:dyDescent="0.35">
      <c r="A20" s="10">
        <v>19</v>
      </c>
      <c r="B20" s="10">
        <v>16</v>
      </c>
      <c r="C20" s="10" t="s">
        <v>34</v>
      </c>
      <c r="D20" s="10" t="s">
        <v>281</v>
      </c>
      <c r="E20" s="11" t="s">
        <v>236</v>
      </c>
      <c r="F20" s="10" t="s">
        <v>68</v>
      </c>
      <c r="G20" s="10" t="s">
        <v>86</v>
      </c>
      <c r="H20" s="10" t="s">
        <v>95</v>
      </c>
      <c r="I20" s="10" t="str">
        <f t="shared" si="0"/>
        <v>NACE33</v>
      </c>
      <c r="J20" s="10">
        <v>33</v>
      </c>
      <c r="K20" s="10" t="s">
        <v>104</v>
      </c>
      <c r="L20" s="10" t="s">
        <v>106</v>
      </c>
      <c r="M20" s="10" t="s">
        <v>478</v>
      </c>
      <c r="N20" s="10" t="s">
        <v>106</v>
      </c>
      <c r="O20" s="10" t="s">
        <v>147</v>
      </c>
      <c r="P20" s="10" t="s">
        <v>159</v>
      </c>
      <c r="Q20" s="10" t="s">
        <v>476</v>
      </c>
      <c r="R20" s="10" t="s">
        <v>169</v>
      </c>
      <c r="S20" s="10" t="s">
        <v>468</v>
      </c>
      <c r="T20" s="10" t="s">
        <v>202</v>
      </c>
      <c r="U20" s="10">
        <v>0.253</v>
      </c>
      <c r="V20" s="10">
        <v>156</v>
      </c>
      <c r="W20" s="10">
        <v>1</v>
      </c>
      <c r="X20" s="10">
        <v>2022</v>
      </c>
      <c r="Y20" s="10">
        <v>6.41025641025641E-3</v>
      </c>
      <c r="Z20" s="10">
        <v>156</v>
      </c>
      <c r="AA20" s="10">
        <v>8.0064076902543566E-2</v>
      </c>
      <c r="AB20" s="12">
        <v>70</v>
      </c>
    </row>
    <row r="21" spans="1:28" x14ac:dyDescent="0.35">
      <c r="A21" s="10">
        <v>20</v>
      </c>
      <c r="B21" s="10">
        <v>17</v>
      </c>
      <c r="C21" s="10" t="s">
        <v>35</v>
      </c>
      <c r="D21" s="10" t="s">
        <v>282</v>
      </c>
      <c r="E21" s="11" t="s">
        <v>237</v>
      </c>
      <c r="F21" s="10" t="s">
        <v>71</v>
      </c>
      <c r="G21" s="10" t="s">
        <v>84</v>
      </c>
      <c r="H21" s="10" t="s">
        <v>99</v>
      </c>
      <c r="I21" s="10" t="str">
        <f t="shared" si="0"/>
        <v>NACE33</v>
      </c>
      <c r="J21" s="10">
        <v>33</v>
      </c>
      <c r="K21" s="10" t="s">
        <v>104</v>
      </c>
      <c r="L21" s="10" t="s">
        <v>118</v>
      </c>
      <c r="M21" s="10" t="s">
        <v>479</v>
      </c>
      <c r="N21" s="10" t="s">
        <v>140</v>
      </c>
      <c r="O21" s="10" t="s">
        <v>147</v>
      </c>
      <c r="P21" s="10" t="s">
        <v>158</v>
      </c>
      <c r="Q21" s="10" t="s">
        <v>475</v>
      </c>
      <c r="R21" s="10" t="s">
        <v>170</v>
      </c>
      <c r="S21" s="10" t="s">
        <v>469</v>
      </c>
      <c r="T21" s="10" t="s">
        <v>140</v>
      </c>
      <c r="U21" s="10">
        <v>0.223</v>
      </c>
      <c r="V21" s="10">
        <v>205</v>
      </c>
      <c r="W21" s="10">
        <v>1</v>
      </c>
      <c r="X21" s="10">
        <v>2022</v>
      </c>
      <c r="Y21" s="10">
        <v>4.8780487804878049E-3</v>
      </c>
      <c r="Z21" s="10">
        <v>205</v>
      </c>
      <c r="AA21" s="10">
        <v>6.9843029576957816E-2</v>
      </c>
      <c r="AB21" s="12">
        <v>62</v>
      </c>
    </row>
    <row r="22" spans="1:28" x14ac:dyDescent="0.35">
      <c r="A22" s="10">
        <v>21</v>
      </c>
      <c r="B22" s="10">
        <v>17</v>
      </c>
      <c r="C22" s="10" t="s">
        <v>35</v>
      </c>
      <c r="D22" s="10" t="s">
        <v>282</v>
      </c>
      <c r="E22" s="11" t="s">
        <v>237</v>
      </c>
      <c r="F22" s="10" t="s">
        <v>71</v>
      </c>
      <c r="G22" s="10" t="s">
        <v>84</v>
      </c>
      <c r="H22" s="10" t="s">
        <v>99</v>
      </c>
      <c r="I22" s="10" t="str">
        <f t="shared" si="0"/>
        <v>NACE33</v>
      </c>
      <c r="J22" s="10">
        <v>33</v>
      </c>
      <c r="K22" s="10" t="s">
        <v>104</v>
      </c>
      <c r="L22" s="10" t="s">
        <v>118</v>
      </c>
      <c r="M22" s="10" t="s">
        <v>479</v>
      </c>
      <c r="N22" s="10" t="s">
        <v>140</v>
      </c>
      <c r="O22" s="10" t="s">
        <v>147</v>
      </c>
      <c r="P22" s="10" t="s">
        <v>158</v>
      </c>
      <c r="Q22" s="10" t="s">
        <v>475</v>
      </c>
      <c r="R22" s="10" t="s">
        <v>171</v>
      </c>
      <c r="S22" s="10" t="s">
        <v>469</v>
      </c>
      <c r="T22" s="10" t="s">
        <v>140</v>
      </c>
      <c r="U22" s="10">
        <v>0.29799999999999999</v>
      </c>
      <c r="V22" s="10">
        <v>205</v>
      </c>
      <c r="W22" s="10">
        <v>1</v>
      </c>
      <c r="X22" s="10">
        <v>2022</v>
      </c>
      <c r="Y22" s="10">
        <v>4.8780487804878049E-3</v>
      </c>
      <c r="Z22" s="10">
        <v>205</v>
      </c>
      <c r="AA22" s="10">
        <v>6.9843029576957816E-2</v>
      </c>
      <c r="AB22" s="12">
        <v>62</v>
      </c>
    </row>
    <row r="23" spans="1:28" x14ac:dyDescent="0.35">
      <c r="A23" s="10">
        <v>22</v>
      </c>
      <c r="B23" s="10">
        <v>17</v>
      </c>
      <c r="C23" s="10" t="s">
        <v>35</v>
      </c>
      <c r="D23" s="10" t="s">
        <v>282</v>
      </c>
      <c r="E23" s="11" t="s">
        <v>237</v>
      </c>
      <c r="F23" s="10" t="s">
        <v>71</v>
      </c>
      <c r="G23" s="10" t="s">
        <v>84</v>
      </c>
      <c r="H23" s="10" t="s">
        <v>99</v>
      </c>
      <c r="I23" s="10" t="str">
        <f t="shared" si="0"/>
        <v>NACE33</v>
      </c>
      <c r="J23" s="10">
        <v>33</v>
      </c>
      <c r="K23" s="10" t="s">
        <v>104</v>
      </c>
      <c r="L23" s="10" t="s">
        <v>118</v>
      </c>
      <c r="M23" s="10" t="s">
        <v>479</v>
      </c>
      <c r="N23" s="10" t="s">
        <v>140</v>
      </c>
      <c r="O23" s="10" t="s">
        <v>147</v>
      </c>
      <c r="P23" s="10" t="s">
        <v>158</v>
      </c>
      <c r="Q23" s="10" t="s">
        <v>474</v>
      </c>
      <c r="R23" s="10" t="s">
        <v>172</v>
      </c>
      <c r="S23" s="10" t="s">
        <v>469</v>
      </c>
      <c r="T23" s="10" t="s">
        <v>140</v>
      </c>
      <c r="U23" s="10">
        <v>0.5</v>
      </c>
      <c r="V23" s="10">
        <v>205</v>
      </c>
      <c r="W23" s="10">
        <v>1</v>
      </c>
      <c r="X23" s="10">
        <v>2022</v>
      </c>
      <c r="Y23" s="10">
        <v>4.8780487804878049E-3</v>
      </c>
      <c r="Z23" s="10">
        <v>205</v>
      </c>
      <c r="AA23" s="10">
        <v>6.9843029576957816E-2</v>
      </c>
      <c r="AB23" s="12">
        <v>62</v>
      </c>
    </row>
    <row r="24" spans="1:28" x14ac:dyDescent="0.35">
      <c r="A24" s="10">
        <v>23</v>
      </c>
      <c r="B24" s="10">
        <v>18</v>
      </c>
      <c r="C24" s="10" t="s">
        <v>36</v>
      </c>
      <c r="D24" s="10" t="s">
        <v>283</v>
      </c>
      <c r="E24" s="11" t="s">
        <v>238</v>
      </c>
      <c r="F24" s="10" t="s">
        <v>72</v>
      </c>
      <c r="G24" s="10" t="s">
        <v>84</v>
      </c>
      <c r="H24" s="10" t="s">
        <v>95</v>
      </c>
      <c r="I24" s="10" t="str">
        <f t="shared" si="0"/>
        <v>NACE313233</v>
      </c>
      <c r="J24" s="10">
        <v>313233</v>
      </c>
      <c r="K24" s="10" t="s">
        <v>104</v>
      </c>
      <c r="L24" s="10" t="s">
        <v>119</v>
      </c>
      <c r="M24" s="10" t="s">
        <v>480</v>
      </c>
      <c r="N24" s="10" t="s">
        <v>142</v>
      </c>
      <c r="O24" s="10" t="s">
        <v>149</v>
      </c>
      <c r="P24" s="10" t="s">
        <v>155</v>
      </c>
      <c r="Q24" s="10" t="s">
        <v>475</v>
      </c>
      <c r="R24" s="10" t="s">
        <v>163</v>
      </c>
      <c r="S24" s="10" t="s">
        <v>469</v>
      </c>
      <c r="T24" s="10" t="s">
        <v>140</v>
      </c>
      <c r="U24" s="10">
        <v>0.69499999999999995</v>
      </c>
      <c r="V24" s="10">
        <v>462</v>
      </c>
      <c r="W24" s="10">
        <v>1</v>
      </c>
      <c r="X24" s="10">
        <v>2022</v>
      </c>
      <c r="Y24" s="10">
        <v>2.1645021645021649E-3</v>
      </c>
      <c r="Z24" s="10">
        <v>462</v>
      </c>
      <c r="AA24" s="10">
        <v>4.6524210519923545E-2</v>
      </c>
      <c r="AB24" s="12">
        <v>62</v>
      </c>
    </row>
    <row r="25" spans="1:28" x14ac:dyDescent="0.35">
      <c r="A25" s="10">
        <v>24</v>
      </c>
      <c r="B25" s="10">
        <v>18</v>
      </c>
      <c r="C25" s="10" t="s">
        <v>36</v>
      </c>
      <c r="D25" s="10" t="s">
        <v>283</v>
      </c>
      <c r="E25" s="11" t="s">
        <v>238</v>
      </c>
      <c r="F25" s="10" t="s">
        <v>72</v>
      </c>
      <c r="G25" s="10" t="s">
        <v>84</v>
      </c>
      <c r="H25" s="10" t="s">
        <v>95</v>
      </c>
      <c r="I25" s="10" t="str">
        <f t="shared" si="0"/>
        <v>NACE313233</v>
      </c>
      <c r="J25" s="10">
        <v>313233</v>
      </c>
      <c r="K25" s="10" t="s">
        <v>104</v>
      </c>
      <c r="L25" s="10" t="s">
        <v>119</v>
      </c>
      <c r="M25" s="10" t="s">
        <v>480</v>
      </c>
      <c r="N25" s="10" t="s">
        <v>142</v>
      </c>
      <c r="O25" s="10" t="s">
        <v>149</v>
      </c>
      <c r="P25" s="10" t="s">
        <v>155</v>
      </c>
      <c r="Q25" s="10" t="s">
        <v>474</v>
      </c>
      <c r="R25" s="10" t="s">
        <v>173</v>
      </c>
      <c r="S25" s="10" t="s">
        <v>469</v>
      </c>
      <c r="T25" s="10" t="s">
        <v>140</v>
      </c>
      <c r="U25" s="10">
        <v>0.40200000000000002</v>
      </c>
      <c r="V25" s="10">
        <v>462</v>
      </c>
      <c r="W25" s="10">
        <v>1</v>
      </c>
      <c r="X25" s="10">
        <v>2022</v>
      </c>
      <c r="Y25" s="10">
        <v>2.1645021645021649E-3</v>
      </c>
      <c r="Z25" s="10">
        <v>462</v>
      </c>
      <c r="AA25" s="10">
        <v>4.6524210519923545E-2</v>
      </c>
      <c r="AB25" s="12">
        <v>62</v>
      </c>
    </row>
    <row r="26" spans="1:28" x14ac:dyDescent="0.35">
      <c r="A26" s="10">
        <v>25</v>
      </c>
      <c r="B26" s="10">
        <v>19</v>
      </c>
      <c r="C26" s="10" t="s">
        <v>37</v>
      </c>
      <c r="D26" s="10" t="s">
        <v>284</v>
      </c>
      <c r="E26" s="11" t="s">
        <v>239</v>
      </c>
      <c r="F26" s="10" t="s">
        <v>65</v>
      </c>
      <c r="G26" s="10" t="s">
        <v>87</v>
      </c>
      <c r="H26" s="10" t="s">
        <v>95</v>
      </c>
      <c r="I26" s="10" t="str">
        <f t="shared" si="0"/>
        <v>NACE313233</v>
      </c>
      <c r="J26" s="10">
        <v>313233</v>
      </c>
      <c r="K26" s="10" t="s">
        <v>104</v>
      </c>
      <c r="L26" s="10" t="s">
        <v>120</v>
      </c>
      <c r="M26" s="10" t="s">
        <v>478</v>
      </c>
      <c r="N26" s="10" t="s">
        <v>120</v>
      </c>
      <c r="O26" s="10" t="s">
        <v>147</v>
      </c>
      <c r="P26" s="10" t="s">
        <v>154</v>
      </c>
      <c r="Q26" s="10" t="s">
        <v>474</v>
      </c>
      <c r="R26" s="10" t="s">
        <v>174</v>
      </c>
      <c r="S26" s="10" t="s">
        <v>470</v>
      </c>
      <c r="T26" s="10" t="s">
        <v>195</v>
      </c>
      <c r="U26" s="10">
        <v>0.17384273296947639</v>
      </c>
      <c r="V26" s="10">
        <v>240</v>
      </c>
      <c r="W26" s="10">
        <v>0</v>
      </c>
      <c r="X26" s="10">
        <v>2022</v>
      </c>
      <c r="Y26" s="10">
        <v>4.1666666666666666E-3</v>
      </c>
      <c r="Z26" s="10">
        <v>240</v>
      </c>
      <c r="AA26" s="10">
        <v>6.4549722436790274E-2</v>
      </c>
      <c r="AB26" s="12">
        <v>45</v>
      </c>
    </row>
    <row r="27" spans="1:28" x14ac:dyDescent="0.35">
      <c r="A27" s="10">
        <v>26</v>
      </c>
      <c r="B27" s="10">
        <v>20</v>
      </c>
      <c r="C27" s="10" t="s">
        <v>38</v>
      </c>
      <c r="D27" s="10" t="s">
        <v>285</v>
      </c>
      <c r="E27" s="11" t="s">
        <v>240</v>
      </c>
      <c r="F27" s="10" t="s">
        <v>65</v>
      </c>
      <c r="G27" s="10" t="s">
        <v>85</v>
      </c>
      <c r="H27" s="10" t="s">
        <v>482</v>
      </c>
      <c r="I27" s="10" t="str">
        <f t="shared" si="0"/>
        <v>NACE33</v>
      </c>
      <c r="J27" s="10">
        <v>33</v>
      </c>
      <c r="K27" s="10" t="s">
        <v>104</v>
      </c>
      <c r="L27" s="10" t="s">
        <v>121</v>
      </c>
      <c r="M27" s="10" t="s">
        <v>479</v>
      </c>
      <c r="N27" s="10" t="s">
        <v>140</v>
      </c>
      <c r="O27" s="10" t="s">
        <v>149</v>
      </c>
      <c r="P27" s="10" t="s">
        <v>159</v>
      </c>
      <c r="Q27" s="10" t="s">
        <v>474</v>
      </c>
      <c r="R27" s="10" t="s">
        <v>175</v>
      </c>
      <c r="S27" s="10" t="s">
        <v>470</v>
      </c>
      <c r="T27" s="10" t="s">
        <v>196</v>
      </c>
      <c r="U27" s="10">
        <v>0.441</v>
      </c>
      <c r="V27" s="10">
        <v>67</v>
      </c>
      <c r="W27" s="10">
        <v>1</v>
      </c>
      <c r="X27" s="10">
        <v>2022</v>
      </c>
      <c r="Y27" s="10">
        <v>1.492537313432836E-2</v>
      </c>
      <c r="Z27" s="10">
        <v>67</v>
      </c>
      <c r="AA27" s="10">
        <v>0.12216944435630522</v>
      </c>
      <c r="AB27" s="12">
        <v>47</v>
      </c>
    </row>
    <row r="28" spans="1:28" x14ac:dyDescent="0.35">
      <c r="A28" s="10">
        <v>27</v>
      </c>
      <c r="B28" s="10">
        <v>20</v>
      </c>
      <c r="C28" s="10" t="s">
        <v>38</v>
      </c>
      <c r="D28" s="10" t="s">
        <v>285</v>
      </c>
      <c r="E28" s="11" t="s">
        <v>240</v>
      </c>
      <c r="F28" s="10" t="s">
        <v>73</v>
      </c>
      <c r="G28" s="10" t="s">
        <v>85</v>
      </c>
      <c r="H28" s="10" t="s">
        <v>482</v>
      </c>
      <c r="I28" s="10" t="str">
        <f t="shared" si="0"/>
        <v>NACE33</v>
      </c>
      <c r="J28" s="10">
        <v>33</v>
      </c>
      <c r="K28" s="10" t="s">
        <v>104</v>
      </c>
      <c r="L28" s="10" t="s">
        <v>121</v>
      </c>
      <c r="M28" s="10" t="s">
        <v>479</v>
      </c>
      <c r="N28" s="10" t="s">
        <v>140</v>
      </c>
      <c r="O28" s="10" t="s">
        <v>149</v>
      </c>
      <c r="P28" s="10" t="s">
        <v>159</v>
      </c>
      <c r="Q28" s="10" t="s">
        <v>474</v>
      </c>
      <c r="R28" s="10" t="s">
        <v>175</v>
      </c>
      <c r="S28" s="10" t="s">
        <v>468</v>
      </c>
      <c r="T28" s="10" t="s">
        <v>205</v>
      </c>
      <c r="U28" s="10">
        <v>0.67300000000000004</v>
      </c>
      <c r="V28" s="10">
        <v>67</v>
      </c>
      <c r="W28" s="10">
        <v>1</v>
      </c>
      <c r="X28" s="10">
        <v>2022</v>
      </c>
      <c r="Y28" s="10">
        <v>1.492537313432836E-2</v>
      </c>
      <c r="Z28" s="10">
        <v>67</v>
      </c>
      <c r="AA28" s="10">
        <v>0.12216944435630522</v>
      </c>
      <c r="AB28" s="12">
        <v>47</v>
      </c>
    </row>
    <row r="29" spans="1:28" x14ac:dyDescent="0.35">
      <c r="A29" s="10">
        <v>28</v>
      </c>
      <c r="B29" s="10">
        <v>21</v>
      </c>
      <c r="C29" s="10" t="s">
        <v>39</v>
      </c>
      <c r="D29" s="10" t="s">
        <v>286</v>
      </c>
      <c r="E29" s="11" t="s">
        <v>241</v>
      </c>
      <c r="F29" s="10" t="s">
        <v>68</v>
      </c>
      <c r="G29" s="10" t="s">
        <v>88</v>
      </c>
      <c r="H29" s="10" t="s">
        <v>75</v>
      </c>
      <c r="I29" s="10" t="str">
        <f t="shared" si="0"/>
        <v>NACE33</v>
      </c>
      <c r="J29" s="10">
        <v>33</v>
      </c>
      <c r="K29" s="10" t="s">
        <v>104</v>
      </c>
      <c r="L29" s="10" t="s">
        <v>122</v>
      </c>
      <c r="M29" s="10" t="s">
        <v>478</v>
      </c>
      <c r="N29" s="10" t="s">
        <v>132</v>
      </c>
      <c r="O29" s="10" t="s">
        <v>149</v>
      </c>
      <c r="P29" s="10" t="s">
        <v>159</v>
      </c>
      <c r="Q29" s="10" t="s">
        <v>474</v>
      </c>
      <c r="R29" s="10" t="s">
        <v>176</v>
      </c>
      <c r="S29" s="10" t="s">
        <v>469</v>
      </c>
      <c r="T29" s="10" t="s">
        <v>203</v>
      </c>
      <c r="U29" s="10">
        <v>0.33700000000000002</v>
      </c>
      <c r="V29" s="10">
        <v>438</v>
      </c>
      <c r="W29" s="10">
        <v>1</v>
      </c>
      <c r="X29" s="10">
        <v>2023</v>
      </c>
      <c r="Y29" s="10">
        <v>2.2831050228310501E-3</v>
      </c>
      <c r="Z29" s="10">
        <v>438</v>
      </c>
      <c r="AA29" s="10">
        <v>4.7781848256749658E-2</v>
      </c>
      <c r="AB29" s="12">
        <v>37</v>
      </c>
    </row>
    <row r="30" spans="1:28" x14ac:dyDescent="0.35">
      <c r="A30" s="10">
        <v>29</v>
      </c>
      <c r="B30" s="10">
        <v>21</v>
      </c>
      <c r="C30" s="10" t="s">
        <v>39</v>
      </c>
      <c r="D30" s="10" t="s">
        <v>286</v>
      </c>
      <c r="E30" s="11" t="s">
        <v>241</v>
      </c>
      <c r="F30" s="10" t="s">
        <v>68</v>
      </c>
      <c r="G30" s="10" t="s">
        <v>88</v>
      </c>
      <c r="H30" s="10" t="s">
        <v>75</v>
      </c>
      <c r="I30" s="10" t="str">
        <f t="shared" si="0"/>
        <v>NACE33</v>
      </c>
      <c r="J30" s="10">
        <v>33</v>
      </c>
      <c r="K30" s="10" t="s">
        <v>104</v>
      </c>
      <c r="L30" s="10" t="s">
        <v>122</v>
      </c>
      <c r="M30" s="10" t="s">
        <v>478</v>
      </c>
      <c r="N30" s="10" t="s">
        <v>132</v>
      </c>
      <c r="O30" s="10" t="s">
        <v>149</v>
      </c>
      <c r="P30" s="10" t="s">
        <v>159</v>
      </c>
      <c r="Q30" s="10" t="s">
        <v>474</v>
      </c>
      <c r="R30" s="10" t="s">
        <v>176</v>
      </c>
      <c r="S30" s="10" t="s">
        <v>469</v>
      </c>
      <c r="T30" s="10" t="s">
        <v>140</v>
      </c>
      <c r="U30" s="10">
        <v>0.45300000000000001</v>
      </c>
      <c r="V30" s="10">
        <v>438</v>
      </c>
      <c r="W30" s="10">
        <v>1</v>
      </c>
      <c r="X30" s="10">
        <v>2023</v>
      </c>
      <c r="Y30" s="10">
        <v>2.2831050228310501E-3</v>
      </c>
      <c r="Z30" s="10">
        <v>438</v>
      </c>
      <c r="AA30" s="10">
        <v>4.7781848256749658E-2</v>
      </c>
      <c r="AB30" s="12">
        <v>37</v>
      </c>
    </row>
    <row r="31" spans="1:28" x14ac:dyDescent="0.35">
      <c r="A31" s="10">
        <v>30</v>
      </c>
      <c r="B31" s="10">
        <v>22</v>
      </c>
      <c r="C31" s="10" t="s">
        <v>40</v>
      </c>
      <c r="D31" s="10" t="s">
        <v>287</v>
      </c>
      <c r="E31" s="11" t="s">
        <v>242</v>
      </c>
      <c r="F31" s="10" t="s">
        <v>67</v>
      </c>
      <c r="G31" s="10" t="s">
        <v>318</v>
      </c>
      <c r="H31" s="10" t="s">
        <v>95</v>
      </c>
      <c r="I31" s="10" t="str">
        <f t="shared" si="0"/>
        <v>NACE313233</v>
      </c>
      <c r="J31" s="10">
        <v>313233</v>
      </c>
      <c r="K31" s="10" t="s">
        <v>104</v>
      </c>
      <c r="L31" s="10" t="s">
        <v>123</v>
      </c>
      <c r="M31" s="10" t="s">
        <v>479</v>
      </c>
      <c r="N31" s="10" t="s">
        <v>138</v>
      </c>
      <c r="O31" s="10" t="s">
        <v>149</v>
      </c>
      <c r="P31" s="10" t="s">
        <v>155</v>
      </c>
      <c r="Q31" s="10" t="s">
        <v>475</v>
      </c>
      <c r="R31" s="10" t="s">
        <v>163</v>
      </c>
      <c r="S31" s="10" t="s">
        <v>468</v>
      </c>
      <c r="T31" s="10" t="s">
        <v>206</v>
      </c>
      <c r="U31" s="10">
        <v>0.13</v>
      </c>
      <c r="V31" s="10">
        <v>246</v>
      </c>
      <c r="W31" s="10">
        <v>1</v>
      </c>
      <c r="X31" s="10">
        <v>2023</v>
      </c>
      <c r="Y31" s="10">
        <v>4.0650406504065036E-3</v>
      </c>
      <c r="Z31" s="10">
        <v>246</v>
      </c>
      <c r="AA31" s="10">
        <v>6.3757671306333821E-2</v>
      </c>
      <c r="AB31" s="12">
        <v>60.855820895522385</v>
      </c>
    </row>
    <row r="32" spans="1:28" x14ac:dyDescent="0.35">
      <c r="A32" s="10">
        <v>31</v>
      </c>
      <c r="B32" s="10">
        <v>22</v>
      </c>
      <c r="C32" s="10" t="s">
        <v>40</v>
      </c>
      <c r="D32" s="10" t="s">
        <v>287</v>
      </c>
      <c r="E32" s="11" t="s">
        <v>242</v>
      </c>
      <c r="F32" s="10" t="s">
        <v>67</v>
      </c>
      <c r="G32" s="10" t="s">
        <v>318</v>
      </c>
      <c r="H32" s="10" t="s">
        <v>95</v>
      </c>
      <c r="I32" s="10" t="str">
        <f t="shared" si="0"/>
        <v>NACE313233</v>
      </c>
      <c r="J32" s="10">
        <v>313233</v>
      </c>
      <c r="K32" s="10" t="s">
        <v>104</v>
      </c>
      <c r="L32" s="10" t="s">
        <v>124</v>
      </c>
      <c r="M32" s="10" t="s">
        <v>479</v>
      </c>
      <c r="N32" s="10" t="s">
        <v>138</v>
      </c>
      <c r="O32" s="10" t="s">
        <v>149</v>
      </c>
      <c r="P32" s="10" t="s">
        <v>155</v>
      </c>
      <c r="Q32" s="10" t="s">
        <v>475</v>
      </c>
      <c r="R32" s="10" t="s">
        <v>163</v>
      </c>
      <c r="S32" s="10" t="s">
        <v>468</v>
      </c>
      <c r="T32" s="10" t="s">
        <v>206</v>
      </c>
      <c r="U32" s="10">
        <v>0.19</v>
      </c>
      <c r="V32" s="10">
        <v>246</v>
      </c>
      <c r="W32" s="10">
        <v>1</v>
      </c>
      <c r="X32" s="10">
        <v>2023</v>
      </c>
      <c r="Y32" s="10">
        <v>4.0650406504065036E-3</v>
      </c>
      <c r="Z32" s="10">
        <v>246</v>
      </c>
      <c r="AA32" s="10">
        <v>6.3757671306333821E-2</v>
      </c>
      <c r="AB32" s="12">
        <v>60.855820895522385</v>
      </c>
    </row>
    <row r="33" spans="1:28" x14ac:dyDescent="0.35">
      <c r="A33" s="10">
        <v>32</v>
      </c>
      <c r="B33" s="10">
        <v>23</v>
      </c>
      <c r="C33" s="10" t="s">
        <v>41</v>
      </c>
      <c r="D33" s="10" t="s">
        <v>288</v>
      </c>
      <c r="E33" s="11" t="s">
        <v>243</v>
      </c>
      <c r="F33" s="10" t="s">
        <v>73</v>
      </c>
      <c r="G33" s="10" t="s">
        <v>89</v>
      </c>
      <c r="H33" s="10" t="s">
        <v>95</v>
      </c>
      <c r="I33" s="10" t="str">
        <f t="shared" si="0"/>
        <v>NACE313233</v>
      </c>
      <c r="J33" s="10">
        <v>313233</v>
      </c>
      <c r="K33" s="10" t="s">
        <v>104</v>
      </c>
      <c r="L33" s="10" t="s">
        <v>118</v>
      </c>
      <c r="M33" s="10" t="s">
        <v>480</v>
      </c>
      <c r="N33" s="10" t="s">
        <v>142</v>
      </c>
      <c r="O33" s="10" t="s">
        <v>149</v>
      </c>
      <c r="P33" s="10" t="s">
        <v>155</v>
      </c>
      <c r="Q33" s="10" t="s">
        <v>475</v>
      </c>
      <c r="R33" s="10" t="s">
        <v>163</v>
      </c>
      <c r="S33" s="10" t="s">
        <v>470</v>
      </c>
      <c r="T33" s="10" t="s">
        <v>196</v>
      </c>
      <c r="U33" s="10">
        <v>0.439</v>
      </c>
      <c r="V33" s="10">
        <v>204</v>
      </c>
      <c r="W33" s="10">
        <v>1</v>
      </c>
      <c r="X33" s="10">
        <v>2023</v>
      </c>
      <c r="Y33" s="10">
        <v>4.9019607843137254E-3</v>
      </c>
      <c r="Z33" s="10">
        <v>204</v>
      </c>
      <c r="AA33" s="10">
        <v>7.0014004201400484E-2</v>
      </c>
      <c r="AB33" s="12">
        <v>72.5</v>
      </c>
    </row>
    <row r="34" spans="1:28" x14ac:dyDescent="0.35">
      <c r="A34" s="10">
        <v>33</v>
      </c>
      <c r="B34" s="10">
        <v>23</v>
      </c>
      <c r="C34" s="10" t="s">
        <v>41</v>
      </c>
      <c r="D34" s="10" t="s">
        <v>289</v>
      </c>
      <c r="E34" s="11" t="s">
        <v>243</v>
      </c>
      <c r="F34" s="10" t="s">
        <v>73</v>
      </c>
      <c r="G34" s="10" t="s">
        <v>89</v>
      </c>
      <c r="H34" s="10" t="s">
        <v>95</v>
      </c>
      <c r="I34" s="10" t="str">
        <f t="shared" si="0"/>
        <v>NACE313233</v>
      </c>
      <c r="J34" s="10">
        <v>313233</v>
      </c>
      <c r="K34" s="10" t="s">
        <v>104</v>
      </c>
      <c r="L34" s="10" t="s">
        <v>118</v>
      </c>
      <c r="M34" s="10" t="s">
        <v>480</v>
      </c>
      <c r="N34" s="10" t="s">
        <v>142</v>
      </c>
      <c r="O34" s="10" t="s">
        <v>149</v>
      </c>
      <c r="P34" s="10" t="s">
        <v>155</v>
      </c>
      <c r="Q34" s="10" t="s">
        <v>474</v>
      </c>
      <c r="R34" s="10" t="s">
        <v>177</v>
      </c>
      <c r="S34" s="10" t="s">
        <v>470</v>
      </c>
      <c r="T34" s="10" t="s">
        <v>196</v>
      </c>
      <c r="U34" s="10">
        <v>0.17399999999999999</v>
      </c>
      <c r="V34" s="10">
        <v>204</v>
      </c>
      <c r="W34" s="10">
        <v>1</v>
      </c>
      <c r="X34" s="10">
        <v>2023</v>
      </c>
      <c r="Y34" s="10">
        <v>4.9019607843137254E-3</v>
      </c>
      <c r="Z34" s="10">
        <v>204</v>
      </c>
      <c r="AA34" s="10">
        <v>7.0014004201400484E-2</v>
      </c>
      <c r="AB34" s="12">
        <v>72.5</v>
      </c>
    </row>
    <row r="35" spans="1:28" x14ac:dyDescent="0.35">
      <c r="A35" s="10">
        <v>34</v>
      </c>
      <c r="B35" s="10">
        <v>23</v>
      </c>
      <c r="C35" s="10" t="s">
        <v>41</v>
      </c>
      <c r="D35" s="10" t="s">
        <v>289</v>
      </c>
      <c r="E35" s="11" t="s">
        <v>243</v>
      </c>
      <c r="F35" s="10" t="s">
        <v>73</v>
      </c>
      <c r="G35" s="10" t="s">
        <v>89</v>
      </c>
      <c r="H35" s="10" t="s">
        <v>95</v>
      </c>
      <c r="I35" s="10" t="str">
        <f t="shared" si="0"/>
        <v>NACE313233</v>
      </c>
      <c r="J35" s="10">
        <v>313233</v>
      </c>
      <c r="K35" s="10" t="s">
        <v>104</v>
      </c>
      <c r="L35" s="10" t="s">
        <v>118</v>
      </c>
      <c r="M35" s="10" t="s">
        <v>480</v>
      </c>
      <c r="N35" s="10" t="s">
        <v>142</v>
      </c>
      <c r="O35" s="10" t="s">
        <v>149</v>
      </c>
      <c r="P35" s="10" t="s">
        <v>155</v>
      </c>
      <c r="Q35" s="10" t="s">
        <v>474</v>
      </c>
      <c r="R35" s="10" t="s">
        <v>178</v>
      </c>
      <c r="S35" s="10" t="s">
        <v>470</v>
      </c>
      <c r="T35" s="10" t="s">
        <v>196</v>
      </c>
      <c r="U35" s="10">
        <v>0.28299999999999997</v>
      </c>
      <c r="V35" s="10">
        <v>204</v>
      </c>
      <c r="W35" s="10">
        <v>1</v>
      </c>
      <c r="X35" s="10">
        <v>2023</v>
      </c>
      <c r="Y35" s="10">
        <v>4.9019607843137254E-3</v>
      </c>
      <c r="Z35" s="10">
        <v>204</v>
      </c>
      <c r="AA35" s="10">
        <v>7.0014004201400484E-2</v>
      </c>
      <c r="AB35" s="12">
        <v>72.5</v>
      </c>
    </row>
    <row r="36" spans="1:28" x14ac:dyDescent="0.35">
      <c r="A36" s="10">
        <v>35</v>
      </c>
      <c r="B36" s="10">
        <v>24</v>
      </c>
      <c r="C36" s="10" t="s">
        <v>42</v>
      </c>
      <c r="D36" s="10" t="s">
        <v>290</v>
      </c>
      <c r="E36" s="11" t="s">
        <v>244</v>
      </c>
      <c r="F36" s="10" t="s">
        <v>73</v>
      </c>
      <c r="G36" s="10" t="s">
        <v>90</v>
      </c>
      <c r="H36" s="10" t="s">
        <v>95</v>
      </c>
      <c r="I36" s="10" t="str">
        <f t="shared" si="0"/>
        <v>NACE33</v>
      </c>
      <c r="J36" s="10">
        <v>33</v>
      </c>
      <c r="K36" s="10" t="s">
        <v>104</v>
      </c>
      <c r="L36" s="10" t="s">
        <v>125</v>
      </c>
      <c r="M36" s="10" t="s">
        <v>479</v>
      </c>
      <c r="N36" s="10" t="s">
        <v>138</v>
      </c>
      <c r="O36" s="10" t="s">
        <v>149</v>
      </c>
      <c r="P36" s="10" t="s">
        <v>155</v>
      </c>
      <c r="Q36" s="10" t="s">
        <v>475</v>
      </c>
      <c r="R36" s="10" t="s">
        <v>179</v>
      </c>
      <c r="S36" s="10" t="s">
        <v>470</v>
      </c>
      <c r="T36" s="10" t="s">
        <v>196</v>
      </c>
      <c r="U36" s="10">
        <v>0.33200000000000002</v>
      </c>
      <c r="V36" s="10">
        <v>270</v>
      </c>
      <c r="W36" s="10">
        <v>1</v>
      </c>
      <c r="X36" s="10">
        <v>2023</v>
      </c>
      <c r="Y36" s="10">
        <v>3.7037037037037038E-3</v>
      </c>
      <c r="Z36" s="10">
        <v>270</v>
      </c>
      <c r="AA36" s="10">
        <v>6.0858061945018457E-2</v>
      </c>
      <c r="AB36" s="12">
        <v>77.3</v>
      </c>
    </row>
    <row r="37" spans="1:28" x14ac:dyDescent="0.35">
      <c r="A37" s="10">
        <v>36</v>
      </c>
      <c r="B37" s="10">
        <v>24</v>
      </c>
      <c r="C37" s="10" t="s">
        <v>42</v>
      </c>
      <c r="D37" s="10" t="s">
        <v>291</v>
      </c>
      <c r="E37" s="11" t="s">
        <v>244</v>
      </c>
      <c r="F37" s="10" t="s">
        <v>73</v>
      </c>
      <c r="G37" s="10" t="s">
        <v>90</v>
      </c>
      <c r="H37" s="10" t="s">
        <v>95</v>
      </c>
      <c r="I37" s="10" t="str">
        <f t="shared" si="0"/>
        <v>NACE33</v>
      </c>
      <c r="J37" s="10">
        <v>33</v>
      </c>
      <c r="K37" s="10" t="s">
        <v>104</v>
      </c>
      <c r="L37" s="10" t="s">
        <v>125</v>
      </c>
      <c r="M37" s="10" t="s">
        <v>479</v>
      </c>
      <c r="N37" s="10" t="s">
        <v>138</v>
      </c>
      <c r="O37" s="10" t="s">
        <v>149</v>
      </c>
      <c r="P37" s="10" t="s">
        <v>155</v>
      </c>
      <c r="Q37" s="10" t="s">
        <v>475</v>
      </c>
      <c r="R37" s="10" t="s">
        <v>180</v>
      </c>
      <c r="S37" s="10" t="s">
        <v>470</v>
      </c>
      <c r="T37" s="10" t="s">
        <v>196</v>
      </c>
      <c r="U37" s="10">
        <v>0.3</v>
      </c>
      <c r="V37" s="10">
        <v>270</v>
      </c>
      <c r="W37" s="10">
        <v>1</v>
      </c>
      <c r="X37" s="10">
        <v>2023</v>
      </c>
      <c r="Y37" s="10">
        <v>3.7037037037037038E-3</v>
      </c>
      <c r="Z37" s="10">
        <v>270</v>
      </c>
      <c r="AA37" s="10">
        <v>6.0858061945018457E-2</v>
      </c>
      <c r="AB37" s="12">
        <v>77.3</v>
      </c>
    </row>
    <row r="38" spans="1:28" x14ac:dyDescent="0.35">
      <c r="A38" s="10">
        <v>37</v>
      </c>
      <c r="B38" s="10">
        <v>25</v>
      </c>
      <c r="C38" s="10" t="s">
        <v>43</v>
      </c>
      <c r="D38" s="10" t="s">
        <v>292</v>
      </c>
      <c r="E38" s="11" t="s">
        <v>245</v>
      </c>
      <c r="F38" s="10" t="s">
        <v>74</v>
      </c>
      <c r="G38" s="10" t="s">
        <v>84</v>
      </c>
      <c r="H38" s="10" t="s">
        <v>100</v>
      </c>
      <c r="I38" s="10" t="str">
        <f t="shared" si="0"/>
        <v>NACE3233</v>
      </c>
      <c r="J38" s="10">
        <v>3233</v>
      </c>
      <c r="K38" s="10" t="s">
        <v>104</v>
      </c>
      <c r="L38" s="10" t="s">
        <v>126</v>
      </c>
      <c r="M38" s="10" t="s">
        <v>479</v>
      </c>
      <c r="N38" s="10" t="s">
        <v>138</v>
      </c>
      <c r="O38" s="10" t="s">
        <v>149</v>
      </c>
      <c r="P38" s="10" t="s">
        <v>155</v>
      </c>
      <c r="Q38" s="10" t="s">
        <v>474</v>
      </c>
      <c r="R38" s="10" t="s">
        <v>181</v>
      </c>
      <c r="S38" s="10" t="s">
        <v>470</v>
      </c>
      <c r="T38" s="10" t="s">
        <v>201</v>
      </c>
      <c r="U38" s="10">
        <v>0.29799999999999999</v>
      </c>
      <c r="V38" s="10">
        <v>223</v>
      </c>
      <c r="W38" s="10">
        <v>1</v>
      </c>
      <c r="X38" s="10">
        <v>2023</v>
      </c>
      <c r="Y38" s="10">
        <v>4.4843049327354259E-3</v>
      </c>
      <c r="Z38" s="10">
        <v>223</v>
      </c>
      <c r="AA38" s="10">
        <v>6.6964953018242498E-2</v>
      </c>
      <c r="AB38" s="12">
        <v>62</v>
      </c>
    </row>
    <row r="39" spans="1:28" x14ac:dyDescent="0.35">
      <c r="A39" s="10">
        <v>38</v>
      </c>
      <c r="B39" s="10">
        <v>26</v>
      </c>
      <c r="C39" s="10" t="s">
        <v>44</v>
      </c>
      <c r="D39" s="10" t="s">
        <v>293</v>
      </c>
      <c r="E39" s="11" t="s">
        <v>246</v>
      </c>
      <c r="F39" s="10" t="s">
        <v>75</v>
      </c>
      <c r="G39" s="10" t="s">
        <v>81</v>
      </c>
      <c r="H39" s="10" t="s">
        <v>95</v>
      </c>
      <c r="I39" s="10" t="str">
        <f t="shared" si="0"/>
        <v>NACE313233</v>
      </c>
      <c r="J39" s="10">
        <v>313233</v>
      </c>
      <c r="K39" s="10" t="s">
        <v>104</v>
      </c>
      <c r="L39" s="10" t="s">
        <v>127</v>
      </c>
      <c r="M39" s="10" t="s">
        <v>479</v>
      </c>
      <c r="N39" s="10" t="s">
        <v>138</v>
      </c>
      <c r="O39" s="10" t="s">
        <v>149</v>
      </c>
      <c r="P39" s="10" t="s">
        <v>155</v>
      </c>
      <c r="Q39" s="10" t="s">
        <v>474</v>
      </c>
      <c r="R39" s="10" t="s">
        <v>182</v>
      </c>
      <c r="S39" s="10" t="s">
        <v>468</v>
      </c>
      <c r="T39" s="10" t="s">
        <v>207</v>
      </c>
      <c r="U39" s="10">
        <v>0.30399999999999999</v>
      </c>
      <c r="V39" s="10">
        <v>351</v>
      </c>
      <c r="W39" s="10">
        <v>1</v>
      </c>
      <c r="X39" s="10">
        <v>2023</v>
      </c>
      <c r="Y39" s="10">
        <v>2.8490028490028491E-3</v>
      </c>
      <c r="Z39" s="10">
        <v>351</v>
      </c>
      <c r="AA39" s="10">
        <v>5.3376051268362382E-2</v>
      </c>
      <c r="AB39" s="12">
        <v>61</v>
      </c>
    </row>
    <row r="40" spans="1:28" x14ac:dyDescent="0.35">
      <c r="A40" s="10">
        <v>39</v>
      </c>
      <c r="B40" s="10">
        <v>26</v>
      </c>
      <c r="C40" s="10" t="s">
        <v>44</v>
      </c>
      <c r="D40" s="10" t="s">
        <v>293</v>
      </c>
      <c r="E40" s="11" t="s">
        <v>246</v>
      </c>
      <c r="F40" s="10" t="s">
        <v>75</v>
      </c>
      <c r="G40" s="10" t="s">
        <v>81</v>
      </c>
      <c r="H40" s="10" t="s">
        <v>95</v>
      </c>
      <c r="I40" s="10" t="str">
        <f t="shared" si="0"/>
        <v>NACE313233</v>
      </c>
      <c r="J40" s="10">
        <v>313233</v>
      </c>
      <c r="K40" s="10" t="s">
        <v>104</v>
      </c>
      <c r="L40" s="10" t="s">
        <v>128</v>
      </c>
      <c r="M40" s="10" t="s">
        <v>479</v>
      </c>
      <c r="N40" s="10" t="s">
        <v>138</v>
      </c>
      <c r="O40" s="10" t="s">
        <v>149</v>
      </c>
      <c r="P40" s="10" t="s">
        <v>155</v>
      </c>
      <c r="Q40" s="10" t="s">
        <v>474</v>
      </c>
      <c r="R40" s="10" t="s">
        <v>182</v>
      </c>
      <c r="S40" s="10" t="s">
        <v>468</v>
      </c>
      <c r="T40" s="10" t="s">
        <v>207</v>
      </c>
      <c r="U40" s="10">
        <v>0.54100000000000004</v>
      </c>
      <c r="V40" s="10">
        <v>351</v>
      </c>
      <c r="W40" s="10">
        <v>1</v>
      </c>
      <c r="X40" s="10">
        <v>2023</v>
      </c>
      <c r="Y40" s="10">
        <v>2.8490028490028491E-3</v>
      </c>
      <c r="Z40" s="10">
        <v>351</v>
      </c>
      <c r="AA40" s="10">
        <v>5.3376051268362382E-2</v>
      </c>
      <c r="AB40" s="12">
        <v>61</v>
      </c>
    </row>
    <row r="41" spans="1:28" x14ac:dyDescent="0.35">
      <c r="A41" s="10">
        <v>40</v>
      </c>
      <c r="B41" s="10">
        <v>26</v>
      </c>
      <c r="C41" s="10" t="s">
        <v>44</v>
      </c>
      <c r="D41" s="10" t="s">
        <v>293</v>
      </c>
      <c r="E41" s="11" t="s">
        <v>246</v>
      </c>
      <c r="F41" s="10" t="s">
        <v>75</v>
      </c>
      <c r="G41" s="10" t="s">
        <v>81</v>
      </c>
      <c r="H41" s="10" t="s">
        <v>95</v>
      </c>
      <c r="I41" s="10" t="str">
        <f t="shared" si="0"/>
        <v>NACE313233</v>
      </c>
      <c r="J41" s="10">
        <v>313233</v>
      </c>
      <c r="K41" s="10" t="s">
        <v>104</v>
      </c>
      <c r="L41" s="10" t="s">
        <v>129</v>
      </c>
      <c r="M41" s="10" t="s">
        <v>479</v>
      </c>
      <c r="N41" s="10" t="s">
        <v>138</v>
      </c>
      <c r="O41" s="10" t="s">
        <v>149</v>
      </c>
      <c r="P41" s="10" t="s">
        <v>155</v>
      </c>
      <c r="Q41" s="10" t="s">
        <v>474</v>
      </c>
      <c r="R41" s="10" t="s">
        <v>182</v>
      </c>
      <c r="S41" s="10" t="s">
        <v>468</v>
      </c>
      <c r="T41" s="10" t="s">
        <v>207</v>
      </c>
      <c r="U41" s="10">
        <v>0.30099999999999999</v>
      </c>
      <c r="V41" s="10">
        <v>351</v>
      </c>
      <c r="W41" s="10">
        <v>1</v>
      </c>
      <c r="X41" s="10">
        <v>2023</v>
      </c>
      <c r="Y41" s="10">
        <v>2.8490028490028491E-3</v>
      </c>
      <c r="Z41" s="10">
        <v>351</v>
      </c>
      <c r="AA41" s="10">
        <v>5.3376051268362382E-2</v>
      </c>
      <c r="AB41" s="12">
        <v>61</v>
      </c>
    </row>
    <row r="42" spans="1:28" x14ac:dyDescent="0.35">
      <c r="A42" s="10">
        <v>41</v>
      </c>
      <c r="B42" s="10">
        <v>27</v>
      </c>
      <c r="C42" s="10" t="s">
        <v>45</v>
      </c>
      <c r="D42" s="10" t="s">
        <v>294</v>
      </c>
      <c r="E42" s="11" t="s">
        <v>247</v>
      </c>
      <c r="F42" s="10" t="s">
        <v>73</v>
      </c>
      <c r="G42" s="10" t="s">
        <v>91</v>
      </c>
      <c r="H42" s="10" t="s">
        <v>98</v>
      </c>
      <c r="I42" s="10" t="str">
        <f t="shared" si="0"/>
        <v>NACE33</v>
      </c>
      <c r="J42" s="10">
        <v>33</v>
      </c>
      <c r="K42" s="10" t="s">
        <v>104</v>
      </c>
      <c r="L42" s="10" t="s">
        <v>130</v>
      </c>
      <c r="M42" s="10" t="s">
        <v>478</v>
      </c>
      <c r="N42" s="10" t="s">
        <v>143</v>
      </c>
      <c r="O42" s="10" t="s">
        <v>149</v>
      </c>
      <c r="P42" s="10" t="s">
        <v>155</v>
      </c>
      <c r="Q42" s="10" t="s">
        <v>475</v>
      </c>
      <c r="R42" s="10" t="s">
        <v>163</v>
      </c>
      <c r="S42" s="10" t="s">
        <v>470</v>
      </c>
      <c r="T42" s="10" t="s">
        <v>208</v>
      </c>
      <c r="U42" s="10">
        <v>0.15</v>
      </c>
      <c r="V42" s="10">
        <v>347</v>
      </c>
      <c r="W42" s="10">
        <v>1</v>
      </c>
      <c r="X42" s="10">
        <v>2023</v>
      </c>
      <c r="Y42" s="10">
        <v>2.881844380403458E-3</v>
      </c>
      <c r="Z42" s="10">
        <v>347</v>
      </c>
      <c r="AA42" s="10">
        <v>5.3682812709501891E-2</v>
      </c>
      <c r="AB42" s="12">
        <v>76</v>
      </c>
    </row>
    <row r="43" spans="1:28" x14ac:dyDescent="0.35">
      <c r="A43" s="10">
        <v>42</v>
      </c>
      <c r="B43" s="10">
        <v>28</v>
      </c>
      <c r="C43" s="10" t="s">
        <v>46</v>
      </c>
      <c r="D43" s="10" t="s">
        <v>295</v>
      </c>
      <c r="E43" s="11" t="s">
        <v>248</v>
      </c>
      <c r="F43" s="10" t="s">
        <v>65</v>
      </c>
      <c r="G43" s="10" t="s">
        <v>84</v>
      </c>
      <c r="H43" s="10" t="s">
        <v>95</v>
      </c>
      <c r="I43" s="10" t="str">
        <f t="shared" si="0"/>
        <v>NACE313233</v>
      </c>
      <c r="J43" s="10">
        <v>313233</v>
      </c>
      <c r="K43" s="10" t="s">
        <v>104</v>
      </c>
      <c r="L43" s="10" t="s">
        <v>118</v>
      </c>
      <c r="M43" s="10" t="s">
        <v>479</v>
      </c>
      <c r="N43" s="10" t="s">
        <v>140</v>
      </c>
      <c r="O43" s="10" t="s">
        <v>149</v>
      </c>
      <c r="P43" s="10" t="s">
        <v>155</v>
      </c>
      <c r="Q43" s="10" t="s">
        <v>475</v>
      </c>
      <c r="R43" s="10" t="s">
        <v>163</v>
      </c>
      <c r="S43" s="10" t="s">
        <v>470</v>
      </c>
      <c r="T43" s="10" t="s">
        <v>196</v>
      </c>
      <c r="U43" s="10">
        <v>0.56499999999999995</v>
      </c>
      <c r="V43" s="10">
        <v>430</v>
      </c>
      <c r="W43" s="10">
        <v>1</v>
      </c>
      <c r="X43" s="10">
        <v>2023</v>
      </c>
      <c r="Y43" s="10">
        <v>2.3255813953488372E-3</v>
      </c>
      <c r="Z43" s="10">
        <v>430</v>
      </c>
      <c r="AA43" s="10">
        <v>4.8224282217041212E-2</v>
      </c>
      <c r="AB43" s="12">
        <v>62</v>
      </c>
    </row>
    <row r="44" spans="1:28" x14ac:dyDescent="0.35">
      <c r="A44" s="10">
        <v>43</v>
      </c>
      <c r="B44" s="10">
        <v>28</v>
      </c>
      <c r="C44" s="10" t="s">
        <v>46</v>
      </c>
      <c r="D44" s="10" t="s">
        <v>295</v>
      </c>
      <c r="E44" s="11" t="s">
        <v>248</v>
      </c>
      <c r="F44" s="10" t="s">
        <v>65</v>
      </c>
      <c r="G44" s="10" t="s">
        <v>84</v>
      </c>
      <c r="H44" s="10" t="s">
        <v>95</v>
      </c>
      <c r="I44" s="10" t="str">
        <f t="shared" si="0"/>
        <v>NACE313233</v>
      </c>
      <c r="J44" s="10">
        <v>313233</v>
      </c>
      <c r="K44" s="10" t="s">
        <v>104</v>
      </c>
      <c r="L44" s="10" t="s">
        <v>118</v>
      </c>
      <c r="M44" s="10" t="s">
        <v>479</v>
      </c>
      <c r="N44" s="10" t="s">
        <v>140</v>
      </c>
      <c r="O44" s="10" t="s">
        <v>149</v>
      </c>
      <c r="P44" s="10" t="s">
        <v>155</v>
      </c>
      <c r="Q44" s="10" t="s">
        <v>475</v>
      </c>
      <c r="R44" s="10" t="s">
        <v>163</v>
      </c>
      <c r="S44" s="10" t="s">
        <v>470</v>
      </c>
      <c r="T44" s="10" t="s">
        <v>201</v>
      </c>
      <c r="U44" s="10">
        <v>0.39300000000000002</v>
      </c>
      <c r="V44" s="10">
        <v>430</v>
      </c>
      <c r="W44" s="10">
        <v>1</v>
      </c>
      <c r="X44" s="10">
        <v>2023</v>
      </c>
      <c r="Y44" s="10">
        <v>2.3255813953488372E-3</v>
      </c>
      <c r="Z44" s="10">
        <v>430</v>
      </c>
      <c r="AA44" s="10">
        <v>4.8224282217041212E-2</v>
      </c>
      <c r="AB44" s="12">
        <v>62</v>
      </c>
    </row>
    <row r="45" spans="1:28" x14ac:dyDescent="0.35">
      <c r="A45" s="10">
        <v>44</v>
      </c>
      <c r="B45" s="10">
        <v>29</v>
      </c>
      <c r="C45" s="10" t="s">
        <v>47</v>
      </c>
      <c r="D45" s="10" t="s">
        <v>296</v>
      </c>
      <c r="E45" s="11" t="s">
        <v>249</v>
      </c>
      <c r="F45" s="10" t="s">
        <v>65</v>
      </c>
      <c r="G45" s="10" t="s">
        <v>84</v>
      </c>
      <c r="H45" s="10" t="s">
        <v>95</v>
      </c>
      <c r="I45" s="10" t="str">
        <f t="shared" si="0"/>
        <v>NACE313233</v>
      </c>
      <c r="J45" s="10">
        <v>313233</v>
      </c>
      <c r="K45" s="10" t="s">
        <v>105</v>
      </c>
      <c r="L45" s="10" t="s">
        <v>131</v>
      </c>
      <c r="M45" s="10" t="s">
        <v>479</v>
      </c>
      <c r="N45" s="10" t="s">
        <v>138</v>
      </c>
      <c r="O45" s="10" t="s">
        <v>150</v>
      </c>
      <c r="P45" s="10" t="s">
        <v>154</v>
      </c>
      <c r="Q45" s="10" t="s">
        <v>474</v>
      </c>
      <c r="R45" s="10" t="s">
        <v>183</v>
      </c>
      <c r="S45" s="10" t="s">
        <v>471</v>
      </c>
      <c r="T45" s="10" t="s">
        <v>209</v>
      </c>
      <c r="U45" s="10">
        <v>0</v>
      </c>
      <c r="V45" s="10">
        <v>2357</v>
      </c>
      <c r="W45" s="10">
        <v>0</v>
      </c>
      <c r="X45" s="10">
        <v>2023</v>
      </c>
      <c r="Y45" s="10">
        <v>4.2426813746287647E-4</v>
      </c>
      <c r="Z45" s="10">
        <v>2357</v>
      </c>
      <c r="AA45" s="10">
        <v>2.0597770206089699E-2</v>
      </c>
      <c r="AB45" s="12">
        <v>62</v>
      </c>
    </row>
    <row r="46" spans="1:28" x14ac:dyDescent="0.35">
      <c r="A46" s="10">
        <v>45</v>
      </c>
      <c r="B46" s="10">
        <v>30</v>
      </c>
      <c r="C46" s="10" t="s">
        <v>48</v>
      </c>
      <c r="D46" s="10" t="s">
        <v>297</v>
      </c>
      <c r="E46" s="11" t="s">
        <v>250</v>
      </c>
      <c r="F46" s="10" t="s">
        <v>65</v>
      </c>
      <c r="G46" s="10" t="s">
        <v>84</v>
      </c>
      <c r="H46" s="10" t="s">
        <v>95</v>
      </c>
      <c r="I46" s="10" t="str">
        <f t="shared" si="0"/>
        <v>NACE313233</v>
      </c>
      <c r="J46" s="10">
        <v>313233</v>
      </c>
      <c r="K46" s="10" t="s">
        <v>105</v>
      </c>
      <c r="L46" s="10" t="s">
        <v>131</v>
      </c>
      <c r="M46" s="10" t="s">
        <v>480</v>
      </c>
      <c r="N46" s="10" t="s">
        <v>144</v>
      </c>
      <c r="O46" s="10" t="s">
        <v>149</v>
      </c>
      <c r="P46" s="10" t="s">
        <v>154</v>
      </c>
      <c r="Q46" s="10" t="s">
        <v>474</v>
      </c>
      <c r="R46" s="10" t="s">
        <v>182</v>
      </c>
      <c r="S46" s="10" t="s">
        <v>467</v>
      </c>
      <c r="T46" s="10" t="s">
        <v>210</v>
      </c>
      <c r="U46" s="10">
        <v>0.18111987062866389</v>
      </c>
      <c r="V46" s="10">
        <v>13195</v>
      </c>
      <c r="W46" s="10">
        <v>0</v>
      </c>
      <c r="X46" s="10">
        <v>2023</v>
      </c>
      <c r="Y46" s="10">
        <v>7.5786282682834412E-5</v>
      </c>
      <c r="Z46" s="10">
        <v>13195</v>
      </c>
      <c r="AA46" s="10">
        <v>8.7055317288971153E-3</v>
      </c>
      <c r="AB46" s="12">
        <v>62</v>
      </c>
    </row>
    <row r="47" spans="1:28" x14ac:dyDescent="0.35">
      <c r="A47" s="10">
        <v>46</v>
      </c>
      <c r="B47" s="10">
        <v>31</v>
      </c>
      <c r="C47" s="10" t="s">
        <v>49</v>
      </c>
      <c r="D47" s="10" t="s">
        <v>298</v>
      </c>
      <c r="E47" s="11" t="s">
        <v>251</v>
      </c>
      <c r="F47" s="10" t="s">
        <v>65</v>
      </c>
      <c r="G47" s="10" t="s">
        <v>84</v>
      </c>
      <c r="H47" s="10" t="s">
        <v>95</v>
      </c>
      <c r="I47" s="10" t="str">
        <f t="shared" si="0"/>
        <v>NACE313233</v>
      </c>
      <c r="J47" s="10">
        <v>313233</v>
      </c>
      <c r="K47" s="10" t="s">
        <v>105</v>
      </c>
      <c r="L47" s="10" t="s">
        <v>106</v>
      </c>
      <c r="M47" s="10" t="s">
        <v>478</v>
      </c>
      <c r="N47" s="10" t="s">
        <v>106</v>
      </c>
      <c r="O47" s="10" t="s">
        <v>147</v>
      </c>
      <c r="P47" s="10" t="s">
        <v>154</v>
      </c>
      <c r="Q47" s="10" t="s">
        <v>476</v>
      </c>
      <c r="R47" s="10" t="s">
        <v>166</v>
      </c>
      <c r="S47" s="10" t="s">
        <v>470</v>
      </c>
      <c r="T47" s="10" t="s">
        <v>211</v>
      </c>
      <c r="U47" s="10">
        <v>0.1131999191429149</v>
      </c>
      <c r="V47" s="10">
        <v>195</v>
      </c>
      <c r="W47" s="10">
        <v>0</v>
      </c>
      <c r="X47" s="10">
        <v>2023</v>
      </c>
      <c r="Y47" s="10">
        <v>5.1282051282051282E-3</v>
      </c>
      <c r="Z47" s="10">
        <v>195</v>
      </c>
      <c r="AA47" s="10">
        <v>7.1611487403943283E-2</v>
      </c>
      <c r="AB47" s="12">
        <v>62</v>
      </c>
    </row>
    <row r="48" spans="1:28" x14ac:dyDescent="0.35">
      <c r="A48" s="10">
        <v>47</v>
      </c>
      <c r="B48" s="10">
        <v>32</v>
      </c>
      <c r="C48" s="10" t="s">
        <v>50</v>
      </c>
      <c r="D48" s="10" t="s">
        <v>299</v>
      </c>
      <c r="E48" s="11" t="s">
        <v>252</v>
      </c>
      <c r="F48" s="10" t="s">
        <v>73</v>
      </c>
      <c r="G48" s="10" t="s">
        <v>84</v>
      </c>
      <c r="H48" s="10" t="s">
        <v>95</v>
      </c>
      <c r="I48" s="10" t="str">
        <f t="shared" si="0"/>
        <v>NACE313233</v>
      </c>
      <c r="J48" s="10">
        <v>313233</v>
      </c>
      <c r="K48" s="10" t="s">
        <v>104</v>
      </c>
      <c r="L48" s="10" t="s">
        <v>132</v>
      </c>
      <c r="M48" s="10" t="s">
        <v>479</v>
      </c>
      <c r="N48" s="10" t="s">
        <v>138</v>
      </c>
      <c r="O48" s="10" t="s">
        <v>149</v>
      </c>
      <c r="P48" s="10" t="s">
        <v>155</v>
      </c>
      <c r="Q48" s="10" t="s">
        <v>475</v>
      </c>
      <c r="R48" s="10" t="s">
        <v>184</v>
      </c>
      <c r="S48" s="10" t="s">
        <v>470</v>
      </c>
      <c r="T48" s="10" t="s">
        <v>196</v>
      </c>
      <c r="U48" s="10">
        <v>0.47799999999999998</v>
      </c>
      <c r="V48" s="10">
        <v>370</v>
      </c>
      <c r="W48" s="10">
        <v>1</v>
      </c>
      <c r="X48" s="10">
        <v>2023</v>
      </c>
      <c r="Y48" s="10">
        <v>2.7027027027027029E-3</v>
      </c>
      <c r="Z48" s="10">
        <v>370</v>
      </c>
      <c r="AA48" s="10">
        <v>5.1987524491003634E-2</v>
      </c>
      <c r="AB48" s="12">
        <v>62</v>
      </c>
    </row>
    <row r="49" spans="1:28" x14ac:dyDescent="0.35">
      <c r="A49" s="10">
        <v>48</v>
      </c>
      <c r="B49" s="10">
        <v>32</v>
      </c>
      <c r="C49" s="10" t="s">
        <v>50</v>
      </c>
      <c r="D49" s="10" t="s">
        <v>300</v>
      </c>
      <c r="E49" s="11" t="s">
        <v>252</v>
      </c>
      <c r="F49" s="10" t="s">
        <v>73</v>
      </c>
      <c r="G49" s="10" t="s">
        <v>84</v>
      </c>
      <c r="H49" s="10" t="s">
        <v>95</v>
      </c>
      <c r="I49" s="10" t="str">
        <f t="shared" si="0"/>
        <v>NACE313233</v>
      </c>
      <c r="J49" s="10">
        <v>313233</v>
      </c>
      <c r="K49" s="10" t="s">
        <v>104</v>
      </c>
      <c r="L49" s="10" t="s">
        <v>132</v>
      </c>
      <c r="M49" s="10" t="s">
        <v>479</v>
      </c>
      <c r="N49" s="10" t="s">
        <v>138</v>
      </c>
      <c r="O49" s="10" t="s">
        <v>149</v>
      </c>
      <c r="P49" s="10" t="s">
        <v>155</v>
      </c>
      <c r="Q49" s="10" t="s">
        <v>475</v>
      </c>
      <c r="R49" s="10" t="s">
        <v>185</v>
      </c>
      <c r="S49" s="10" t="s">
        <v>470</v>
      </c>
      <c r="T49" s="10" t="s">
        <v>196</v>
      </c>
      <c r="U49" s="10">
        <v>0.54800000000000004</v>
      </c>
      <c r="V49" s="10">
        <v>370</v>
      </c>
      <c r="W49" s="10">
        <v>1</v>
      </c>
      <c r="X49" s="10">
        <v>2023</v>
      </c>
      <c r="Y49" s="10">
        <v>2.7027027027027029E-3</v>
      </c>
      <c r="Z49" s="10">
        <v>370</v>
      </c>
      <c r="AA49" s="10">
        <v>5.1987524491003634E-2</v>
      </c>
      <c r="AB49" s="12">
        <v>62</v>
      </c>
    </row>
    <row r="50" spans="1:28" x14ac:dyDescent="0.35">
      <c r="A50" s="10">
        <v>49</v>
      </c>
      <c r="B50" s="10">
        <v>33</v>
      </c>
      <c r="C50" s="10" t="s">
        <v>51</v>
      </c>
      <c r="D50" s="10" t="s">
        <v>301</v>
      </c>
      <c r="E50" s="11" t="s">
        <v>253</v>
      </c>
      <c r="F50" s="10" t="s">
        <v>67</v>
      </c>
      <c r="G50" s="10" t="s">
        <v>88</v>
      </c>
      <c r="H50" s="10" t="s">
        <v>101</v>
      </c>
      <c r="I50" s="10" t="str">
        <f t="shared" si="0"/>
        <v>NACE33</v>
      </c>
      <c r="J50" s="10">
        <v>33</v>
      </c>
      <c r="K50" s="10" t="s">
        <v>105</v>
      </c>
      <c r="L50" s="10" t="s">
        <v>133</v>
      </c>
      <c r="M50" s="10" t="s">
        <v>478</v>
      </c>
      <c r="N50" s="10" t="s">
        <v>145</v>
      </c>
      <c r="O50" s="10" t="s">
        <v>149</v>
      </c>
      <c r="P50" s="10" t="s">
        <v>155</v>
      </c>
      <c r="Q50" s="10" t="s">
        <v>475</v>
      </c>
      <c r="R50" s="10" t="s">
        <v>163</v>
      </c>
      <c r="S50" s="10" t="s">
        <v>470</v>
      </c>
      <c r="T50" s="10" t="s">
        <v>196</v>
      </c>
      <c r="U50" s="10">
        <v>0.47899999999999998</v>
      </c>
      <c r="V50" s="10">
        <v>202</v>
      </c>
      <c r="W50" s="10">
        <v>1</v>
      </c>
      <c r="X50" s="10">
        <v>2024</v>
      </c>
      <c r="Y50" s="10">
        <v>4.9504950495049514E-3</v>
      </c>
      <c r="Z50" s="10">
        <v>202</v>
      </c>
      <c r="AA50" s="10">
        <v>7.0359754473029196E-2</v>
      </c>
      <c r="AB50" s="12">
        <v>37</v>
      </c>
    </row>
    <row r="51" spans="1:28" x14ac:dyDescent="0.35">
      <c r="A51" s="10">
        <v>50</v>
      </c>
      <c r="B51" s="10">
        <v>33</v>
      </c>
      <c r="C51" s="10" t="s">
        <v>51</v>
      </c>
      <c r="D51" s="10" t="s">
        <v>301</v>
      </c>
      <c r="E51" s="11" t="s">
        <v>253</v>
      </c>
      <c r="F51" s="10" t="s">
        <v>67</v>
      </c>
      <c r="G51" s="10" t="s">
        <v>88</v>
      </c>
      <c r="H51" s="10" t="s">
        <v>101</v>
      </c>
      <c r="I51" s="10" t="str">
        <f t="shared" si="0"/>
        <v>NACE33</v>
      </c>
      <c r="J51" s="10">
        <v>33</v>
      </c>
      <c r="K51" s="10" t="s">
        <v>105</v>
      </c>
      <c r="L51" s="10" t="s">
        <v>133</v>
      </c>
      <c r="M51" s="10" t="s">
        <v>478</v>
      </c>
      <c r="N51" s="10" t="s">
        <v>145</v>
      </c>
      <c r="O51" s="10" t="s">
        <v>149</v>
      </c>
      <c r="P51" s="10" t="s">
        <v>155</v>
      </c>
      <c r="Q51" s="10" t="s">
        <v>475</v>
      </c>
      <c r="R51" s="10" t="s">
        <v>163</v>
      </c>
      <c r="S51" s="10" t="s">
        <v>471</v>
      </c>
      <c r="T51" s="10" t="s">
        <v>212</v>
      </c>
      <c r="U51" s="10">
        <v>0.498</v>
      </c>
      <c r="V51" s="10">
        <v>202</v>
      </c>
      <c r="W51" s="10">
        <v>1</v>
      </c>
      <c r="X51" s="10">
        <v>2024</v>
      </c>
      <c r="Y51" s="10">
        <v>4.9504950495049514E-3</v>
      </c>
      <c r="Z51" s="10">
        <v>202</v>
      </c>
      <c r="AA51" s="10">
        <v>7.0359754473029196E-2</v>
      </c>
      <c r="AB51" s="12">
        <v>37</v>
      </c>
    </row>
    <row r="52" spans="1:28" x14ac:dyDescent="0.35">
      <c r="A52" s="10">
        <v>51</v>
      </c>
      <c r="B52" s="10">
        <v>34</v>
      </c>
      <c r="C52" s="10" t="s">
        <v>52</v>
      </c>
      <c r="D52" s="10" t="s">
        <v>302</v>
      </c>
      <c r="E52" s="11" t="s">
        <v>254</v>
      </c>
      <c r="F52" s="10" t="s">
        <v>76</v>
      </c>
      <c r="G52" s="10" t="s">
        <v>319</v>
      </c>
      <c r="H52" s="10" t="s">
        <v>75</v>
      </c>
      <c r="I52" s="10" t="str">
        <f t="shared" si="0"/>
        <v>NACE31</v>
      </c>
      <c r="J52" s="10">
        <v>31</v>
      </c>
      <c r="K52" s="10" t="s">
        <v>104</v>
      </c>
      <c r="L52" s="10" t="s">
        <v>106</v>
      </c>
      <c r="M52" s="10" t="s">
        <v>478</v>
      </c>
      <c r="N52" s="10" t="s">
        <v>106</v>
      </c>
      <c r="O52" s="10" t="s">
        <v>147</v>
      </c>
      <c r="P52" s="10" t="s">
        <v>159</v>
      </c>
      <c r="Q52" s="10" t="s">
        <v>475</v>
      </c>
      <c r="R52" s="10" t="s">
        <v>186</v>
      </c>
      <c r="S52" s="10" t="s">
        <v>471</v>
      </c>
      <c r="T52" s="10" t="s">
        <v>213</v>
      </c>
      <c r="U52" s="10">
        <v>0.14000000000000001</v>
      </c>
      <c r="V52" s="10">
        <v>254</v>
      </c>
      <c r="W52" s="10">
        <v>1</v>
      </c>
      <c r="X52" s="10">
        <v>2024</v>
      </c>
      <c r="Y52" s="10">
        <v>3.937007874015748E-3</v>
      </c>
      <c r="Z52" s="10">
        <v>254</v>
      </c>
      <c r="AA52" s="10">
        <v>6.274558051381586E-2</v>
      </c>
      <c r="AB52" s="12">
        <v>42.5</v>
      </c>
    </row>
    <row r="53" spans="1:28" x14ac:dyDescent="0.35">
      <c r="A53" s="10">
        <v>52</v>
      </c>
      <c r="B53" s="10">
        <v>34</v>
      </c>
      <c r="C53" s="10" t="s">
        <v>52</v>
      </c>
      <c r="D53" s="10" t="s">
        <v>302</v>
      </c>
      <c r="E53" s="11" t="s">
        <v>254</v>
      </c>
      <c r="F53" s="10" t="s">
        <v>76</v>
      </c>
      <c r="G53" s="10" t="s">
        <v>319</v>
      </c>
      <c r="H53" s="10" t="s">
        <v>75</v>
      </c>
      <c r="I53" s="10" t="str">
        <f t="shared" si="0"/>
        <v>NACE31</v>
      </c>
      <c r="J53" s="10">
        <v>31</v>
      </c>
      <c r="K53" s="10" t="s">
        <v>104</v>
      </c>
      <c r="L53" s="10" t="s">
        <v>106</v>
      </c>
      <c r="M53" s="10" t="s">
        <v>478</v>
      </c>
      <c r="N53" s="10" t="s">
        <v>106</v>
      </c>
      <c r="O53" s="10" t="s">
        <v>147</v>
      </c>
      <c r="P53" s="10" t="s">
        <v>159</v>
      </c>
      <c r="Q53" s="10" t="s">
        <v>475</v>
      </c>
      <c r="R53" s="10" t="s">
        <v>187</v>
      </c>
      <c r="S53" s="10" t="s">
        <v>471</v>
      </c>
      <c r="T53" s="10" t="s">
        <v>213</v>
      </c>
      <c r="U53" s="10">
        <v>8.5999999999999993E-2</v>
      </c>
      <c r="V53" s="10">
        <v>254</v>
      </c>
      <c r="W53" s="10">
        <v>1</v>
      </c>
      <c r="X53" s="10">
        <v>2024</v>
      </c>
      <c r="Y53" s="10">
        <v>3.937007874015748E-3</v>
      </c>
      <c r="Z53" s="10">
        <v>254</v>
      </c>
      <c r="AA53" s="10">
        <v>6.274558051381586E-2</v>
      </c>
      <c r="AB53" s="12">
        <v>42.5</v>
      </c>
    </row>
    <row r="54" spans="1:28" x14ac:dyDescent="0.35">
      <c r="A54" s="10">
        <v>53</v>
      </c>
      <c r="B54" s="10">
        <v>35</v>
      </c>
      <c r="C54" s="10" t="s">
        <v>53</v>
      </c>
      <c r="D54" s="10" t="s">
        <v>303</v>
      </c>
      <c r="E54" s="10" t="s">
        <v>503</v>
      </c>
      <c r="F54" s="10" t="s">
        <v>68</v>
      </c>
      <c r="G54" s="10" t="s">
        <v>89</v>
      </c>
      <c r="H54" s="10" t="s">
        <v>95</v>
      </c>
      <c r="I54" s="10" t="str">
        <f t="shared" si="0"/>
        <v>NACE313233</v>
      </c>
      <c r="J54" s="10">
        <v>313233</v>
      </c>
      <c r="K54" s="10" t="s">
        <v>104</v>
      </c>
      <c r="L54" s="10" t="s">
        <v>134</v>
      </c>
      <c r="M54" s="10" t="s">
        <v>479</v>
      </c>
      <c r="N54" s="10" t="s">
        <v>138</v>
      </c>
      <c r="O54" s="10" t="s">
        <v>149</v>
      </c>
      <c r="P54" s="10" t="s">
        <v>159</v>
      </c>
      <c r="Q54" s="10" t="s">
        <v>475</v>
      </c>
      <c r="R54" s="10" t="s">
        <v>188</v>
      </c>
      <c r="S54" s="10" t="s">
        <v>468</v>
      </c>
      <c r="T54" s="10" t="s">
        <v>214</v>
      </c>
      <c r="U54" s="10">
        <v>0.58699999999999997</v>
      </c>
      <c r="V54" s="10">
        <v>303</v>
      </c>
      <c r="W54" s="10">
        <v>1</v>
      </c>
      <c r="X54" s="10">
        <v>2024</v>
      </c>
      <c r="Y54" s="10">
        <v>3.3003300330032999E-3</v>
      </c>
      <c r="Z54" s="10">
        <v>303</v>
      </c>
      <c r="AA54" s="10">
        <v>5.7448498962142602E-2</v>
      </c>
      <c r="AB54" s="12">
        <v>72.5</v>
      </c>
    </row>
    <row r="55" spans="1:28" x14ac:dyDescent="0.35">
      <c r="A55" s="10">
        <v>54</v>
      </c>
      <c r="B55" s="10">
        <v>35</v>
      </c>
      <c r="C55" s="10" t="s">
        <v>53</v>
      </c>
      <c r="D55" s="10" t="s">
        <v>303</v>
      </c>
      <c r="E55" s="10" t="s">
        <v>503</v>
      </c>
      <c r="F55" s="10" t="s">
        <v>68</v>
      </c>
      <c r="G55" s="10" t="s">
        <v>89</v>
      </c>
      <c r="H55" s="10" t="s">
        <v>95</v>
      </c>
      <c r="I55" s="10" t="str">
        <f t="shared" si="0"/>
        <v>NACE313233</v>
      </c>
      <c r="J55" s="10">
        <v>313233</v>
      </c>
      <c r="K55" s="10" t="s">
        <v>104</v>
      </c>
      <c r="L55" s="10" t="s">
        <v>134</v>
      </c>
      <c r="M55" s="10" t="s">
        <v>479</v>
      </c>
      <c r="N55" s="10" t="s">
        <v>138</v>
      </c>
      <c r="O55" s="10" t="s">
        <v>149</v>
      </c>
      <c r="P55" s="10" t="s">
        <v>159</v>
      </c>
      <c r="Q55" s="10" t="s">
        <v>475</v>
      </c>
      <c r="R55" s="10" t="s">
        <v>189</v>
      </c>
      <c r="S55" s="10" t="s">
        <v>468</v>
      </c>
      <c r="T55" s="10" t="s">
        <v>214</v>
      </c>
      <c r="U55" s="10">
        <v>0.66500000000000004</v>
      </c>
      <c r="V55" s="10">
        <v>303</v>
      </c>
      <c r="W55" s="10">
        <v>1</v>
      </c>
      <c r="X55" s="10">
        <v>2024</v>
      </c>
      <c r="Y55" s="10">
        <v>3.3003300330032999E-3</v>
      </c>
      <c r="Z55" s="10">
        <v>303</v>
      </c>
      <c r="AA55" s="10">
        <v>5.7448498962142602E-2</v>
      </c>
      <c r="AB55" s="12">
        <v>72.5</v>
      </c>
    </row>
    <row r="56" spans="1:28" x14ac:dyDescent="0.35">
      <c r="A56" s="10">
        <v>55</v>
      </c>
      <c r="B56" s="10">
        <v>36</v>
      </c>
      <c r="C56" s="10" t="s">
        <v>54</v>
      </c>
      <c r="D56" s="10" t="s">
        <v>304</v>
      </c>
      <c r="E56" s="11" t="s">
        <v>255</v>
      </c>
      <c r="F56" s="10" t="s">
        <v>77</v>
      </c>
      <c r="G56" s="10" t="s">
        <v>84</v>
      </c>
      <c r="H56" s="10" t="s">
        <v>95</v>
      </c>
      <c r="I56" s="10" t="str">
        <f t="shared" si="0"/>
        <v>NACE313233</v>
      </c>
      <c r="J56" s="10">
        <v>313233</v>
      </c>
      <c r="K56" s="10" t="s">
        <v>105</v>
      </c>
      <c r="L56" s="10" t="s">
        <v>135</v>
      </c>
      <c r="M56" s="10" t="s">
        <v>480</v>
      </c>
      <c r="N56" s="10" t="s">
        <v>146</v>
      </c>
      <c r="O56" s="10" t="s">
        <v>149</v>
      </c>
      <c r="P56" s="10" t="s">
        <v>154</v>
      </c>
      <c r="Q56" s="10" t="s">
        <v>474</v>
      </c>
      <c r="R56" s="10" t="s">
        <v>182</v>
      </c>
      <c r="S56" s="10" t="s">
        <v>469</v>
      </c>
      <c r="T56" s="10" t="s">
        <v>215</v>
      </c>
      <c r="U56" s="10">
        <v>0.1113806347281181</v>
      </c>
      <c r="V56" s="10">
        <v>2606</v>
      </c>
      <c r="W56" s="10">
        <v>0</v>
      </c>
      <c r="X56" s="10">
        <v>2024</v>
      </c>
      <c r="Y56" s="10">
        <v>3.8372985418265541E-4</v>
      </c>
      <c r="Z56" s="10">
        <v>2606</v>
      </c>
      <c r="AA56" s="10">
        <v>1.9589023819033338E-2</v>
      </c>
      <c r="AB56" s="12">
        <v>62</v>
      </c>
    </row>
    <row r="57" spans="1:28" x14ac:dyDescent="0.35">
      <c r="A57" s="10">
        <v>56</v>
      </c>
      <c r="B57" s="10">
        <v>37</v>
      </c>
      <c r="C57" s="10" t="s">
        <v>55</v>
      </c>
      <c r="D57" s="10" t="s">
        <v>305</v>
      </c>
      <c r="E57" s="11" t="s">
        <v>256</v>
      </c>
      <c r="F57" s="10" t="s">
        <v>71</v>
      </c>
      <c r="G57" s="10" t="s">
        <v>92</v>
      </c>
      <c r="H57" s="10" t="s">
        <v>95</v>
      </c>
      <c r="I57" s="10" t="str">
        <f t="shared" si="0"/>
        <v>NACE313233</v>
      </c>
      <c r="J57" s="10">
        <v>313233</v>
      </c>
      <c r="K57" s="10" t="s">
        <v>104</v>
      </c>
      <c r="L57" s="10" t="s">
        <v>106</v>
      </c>
      <c r="M57" s="10" t="s">
        <v>478</v>
      </c>
      <c r="N57" s="10" t="s">
        <v>106</v>
      </c>
      <c r="O57" s="10" t="s">
        <v>147</v>
      </c>
      <c r="P57" s="10" t="s">
        <v>159</v>
      </c>
      <c r="Q57" s="10" t="s">
        <v>476</v>
      </c>
      <c r="R57" s="10" t="s">
        <v>166</v>
      </c>
      <c r="S57" s="10" t="s">
        <v>469</v>
      </c>
      <c r="T57" s="10" t="s">
        <v>216</v>
      </c>
      <c r="U57" s="10">
        <v>0.41799999999999998</v>
      </c>
      <c r="V57" s="10">
        <v>234</v>
      </c>
      <c r="W57" s="10">
        <v>1</v>
      </c>
      <c r="X57" s="10">
        <v>2024</v>
      </c>
      <c r="Y57" s="10">
        <v>4.2735042735042739E-3</v>
      </c>
      <c r="Z57" s="10">
        <v>234</v>
      </c>
      <c r="AA57" s="10">
        <v>6.5372045046061353E-2</v>
      </c>
      <c r="AB57" s="12">
        <v>71</v>
      </c>
    </row>
    <row r="58" spans="1:28" x14ac:dyDescent="0.35">
      <c r="A58" s="10">
        <v>57</v>
      </c>
      <c r="B58" s="10">
        <v>38</v>
      </c>
      <c r="C58" s="10" t="s">
        <v>56</v>
      </c>
      <c r="D58" s="10" t="s">
        <v>306</v>
      </c>
      <c r="E58" s="11" t="s">
        <v>257</v>
      </c>
      <c r="F58" s="10" t="s">
        <v>65</v>
      </c>
      <c r="G58" s="10" t="s">
        <v>84</v>
      </c>
      <c r="H58" s="10" t="s">
        <v>95</v>
      </c>
      <c r="I58" s="10" t="str">
        <f t="shared" si="0"/>
        <v>NACE313233</v>
      </c>
      <c r="J58" s="10">
        <v>313233</v>
      </c>
      <c r="K58" s="10" t="s">
        <v>105</v>
      </c>
      <c r="L58" s="10" t="s">
        <v>106</v>
      </c>
      <c r="M58" s="10" t="s">
        <v>478</v>
      </c>
      <c r="N58" s="10" t="s">
        <v>106</v>
      </c>
      <c r="O58" s="10" t="s">
        <v>147</v>
      </c>
      <c r="P58" s="10" t="s">
        <v>154</v>
      </c>
      <c r="Q58" s="10" t="s">
        <v>476</v>
      </c>
      <c r="R58" s="10" t="s">
        <v>166</v>
      </c>
      <c r="S58" s="10" t="s">
        <v>467</v>
      </c>
      <c r="T58" s="10" t="s">
        <v>217</v>
      </c>
      <c r="U58" s="10">
        <v>0.2128562765312311</v>
      </c>
      <c r="V58" s="10">
        <v>240</v>
      </c>
      <c r="W58" s="10">
        <v>0</v>
      </c>
      <c r="X58" s="10">
        <v>2024</v>
      </c>
      <c r="Y58" s="10">
        <v>4.1666666666666666E-3</v>
      </c>
      <c r="Z58" s="10">
        <v>240</v>
      </c>
      <c r="AA58" s="10">
        <v>6.4549722436790274E-2</v>
      </c>
      <c r="AB58" s="12">
        <v>62</v>
      </c>
    </row>
    <row r="59" spans="1:28" x14ac:dyDescent="0.35">
      <c r="A59" s="10">
        <v>58</v>
      </c>
      <c r="B59" s="10">
        <v>39</v>
      </c>
      <c r="C59" s="10" t="s">
        <v>57</v>
      </c>
      <c r="D59" s="10" t="s">
        <v>306</v>
      </c>
      <c r="E59" s="11" t="s">
        <v>258</v>
      </c>
      <c r="F59" s="10" t="s">
        <v>65</v>
      </c>
      <c r="G59" s="10" t="s">
        <v>84</v>
      </c>
      <c r="H59" s="10" t="s">
        <v>95</v>
      </c>
      <c r="I59" s="10" t="str">
        <f t="shared" si="0"/>
        <v>NACE313233</v>
      </c>
      <c r="J59" s="10">
        <v>313233</v>
      </c>
      <c r="K59" s="10" t="s">
        <v>105</v>
      </c>
      <c r="L59" s="10" t="s">
        <v>131</v>
      </c>
      <c r="M59" s="10" t="s">
        <v>479</v>
      </c>
      <c r="N59" s="10" t="s">
        <v>138</v>
      </c>
      <c r="O59" s="10" t="s">
        <v>150</v>
      </c>
      <c r="P59" s="10" t="s">
        <v>154</v>
      </c>
      <c r="Q59" s="10" t="s">
        <v>474</v>
      </c>
      <c r="R59" s="10" t="s">
        <v>183</v>
      </c>
      <c r="S59" s="10" t="s">
        <v>470</v>
      </c>
      <c r="T59" s="10" t="s">
        <v>218</v>
      </c>
      <c r="U59" s="10">
        <v>0.15261774813017989</v>
      </c>
      <c r="V59" s="10">
        <v>231</v>
      </c>
      <c r="W59" s="10">
        <v>0</v>
      </c>
      <c r="X59" s="10">
        <v>2024</v>
      </c>
      <c r="Y59" s="10">
        <v>4.329004329004329E-3</v>
      </c>
      <c r="Z59" s="10">
        <v>231</v>
      </c>
      <c r="AA59" s="10">
        <v>6.5795169495976899E-2</v>
      </c>
      <c r="AB59" s="12">
        <v>62</v>
      </c>
    </row>
    <row r="60" spans="1:28" x14ac:dyDescent="0.35">
      <c r="A60" s="10">
        <v>59</v>
      </c>
      <c r="B60" s="10">
        <v>40</v>
      </c>
      <c r="C60" s="10" t="s">
        <v>58</v>
      </c>
      <c r="D60" s="10" t="s">
        <v>307</v>
      </c>
      <c r="E60" s="11" t="s">
        <v>259</v>
      </c>
      <c r="F60" s="10" t="s">
        <v>73</v>
      </c>
      <c r="G60" s="10" t="s">
        <v>84</v>
      </c>
      <c r="H60" s="10" t="s">
        <v>102</v>
      </c>
      <c r="I60" s="10" t="str">
        <f t="shared" si="0"/>
        <v>NACE33</v>
      </c>
      <c r="J60" s="10">
        <v>33</v>
      </c>
      <c r="K60" s="10" t="s">
        <v>105</v>
      </c>
      <c r="L60" s="10" t="s">
        <v>136</v>
      </c>
      <c r="M60" s="10" t="s">
        <v>479</v>
      </c>
      <c r="N60" s="10" t="s">
        <v>138</v>
      </c>
      <c r="O60" s="10" t="s">
        <v>150</v>
      </c>
      <c r="P60" s="10" t="s">
        <v>154</v>
      </c>
      <c r="Q60" s="10" t="s">
        <v>474</v>
      </c>
      <c r="R60" s="10" t="s">
        <v>183</v>
      </c>
      <c r="S60" s="10" t="s">
        <v>470</v>
      </c>
      <c r="T60" s="10" t="s">
        <v>196</v>
      </c>
      <c r="U60" s="10">
        <v>0.1186577723873054</v>
      </c>
      <c r="V60" s="10">
        <v>248</v>
      </c>
      <c r="W60" s="10">
        <v>0</v>
      </c>
      <c r="X60" s="10">
        <v>2024</v>
      </c>
      <c r="Y60" s="10">
        <v>4.0322580645161289E-3</v>
      </c>
      <c r="Z60" s="10">
        <v>248</v>
      </c>
      <c r="AA60" s="10">
        <v>6.3500063500095252E-2</v>
      </c>
      <c r="AB60" s="12">
        <v>62</v>
      </c>
    </row>
    <row r="61" spans="1:28" x14ac:dyDescent="0.35">
      <c r="A61" s="10">
        <v>60</v>
      </c>
      <c r="B61" s="10">
        <v>41</v>
      </c>
      <c r="C61" s="10" t="s">
        <v>59</v>
      </c>
      <c r="D61" s="10" t="s">
        <v>308</v>
      </c>
      <c r="E61" s="11" t="s">
        <v>260</v>
      </c>
      <c r="F61" s="10" t="s">
        <v>78</v>
      </c>
      <c r="G61" s="10" t="s">
        <v>343</v>
      </c>
      <c r="H61" s="10" t="s">
        <v>95</v>
      </c>
      <c r="I61" s="10" t="str">
        <f t="shared" si="0"/>
        <v>NACE3233</v>
      </c>
      <c r="J61" s="10">
        <v>3233</v>
      </c>
      <c r="K61" s="10" t="s">
        <v>105</v>
      </c>
      <c r="L61" s="10" t="s">
        <v>106</v>
      </c>
      <c r="M61" s="10" t="s">
        <v>478</v>
      </c>
      <c r="N61" s="10" t="s">
        <v>106</v>
      </c>
      <c r="O61" s="10" t="s">
        <v>147</v>
      </c>
      <c r="P61" s="10" t="s">
        <v>154</v>
      </c>
      <c r="Q61" s="10" t="s">
        <v>476</v>
      </c>
      <c r="R61" s="10" t="s">
        <v>166</v>
      </c>
      <c r="S61" s="10" t="s">
        <v>469</v>
      </c>
      <c r="T61" s="10" t="s">
        <v>219</v>
      </c>
      <c r="U61" s="10">
        <v>0.4956539316757631</v>
      </c>
      <c r="V61" s="10">
        <v>41991</v>
      </c>
      <c r="W61" s="10">
        <v>0</v>
      </c>
      <c r="X61" s="10">
        <v>2024</v>
      </c>
      <c r="Y61" s="10">
        <v>2.381462694386892E-5</v>
      </c>
      <c r="Z61" s="10">
        <v>41991</v>
      </c>
      <c r="AA61" s="10">
        <v>4.8800232523901893E-3</v>
      </c>
      <c r="AB61" s="12">
        <v>63.93</v>
      </c>
    </row>
    <row r="62" spans="1:28" x14ac:dyDescent="0.35">
      <c r="A62" s="10">
        <v>61</v>
      </c>
      <c r="B62" s="10">
        <v>42</v>
      </c>
      <c r="C62" s="10" t="s">
        <v>60</v>
      </c>
      <c r="D62" s="10" t="s">
        <v>309</v>
      </c>
      <c r="E62" s="11" t="s">
        <v>261</v>
      </c>
      <c r="F62" s="10" t="s">
        <v>73</v>
      </c>
      <c r="G62" s="10" t="s">
        <v>81</v>
      </c>
      <c r="H62" s="10" t="s">
        <v>95</v>
      </c>
      <c r="I62" s="10" t="str">
        <f t="shared" si="0"/>
        <v>NACE313233</v>
      </c>
      <c r="J62" s="10">
        <v>313233</v>
      </c>
      <c r="K62" s="10" t="s">
        <v>104</v>
      </c>
      <c r="L62" s="10" t="s">
        <v>106</v>
      </c>
      <c r="M62" s="10" t="s">
        <v>478</v>
      </c>
      <c r="N62" s="10" t="s">
        <v>106</v>
      </c>
      <c r="O62" s="10" t="s">
        <v>147</v>
      </c>
      <c r="P62" s="10" t="s">
        <v>154</v>
      </c>
      <c r="Q62" s="10" t="s">
        <v>476</v>
      </c>
      <c r="R62" s="10" t="s">
        <v>166</v>
      </c>
      <c r="S62" s="10" t="s">
        <v>471</v>
      </c>
      <c r="T62" s="10" t="s">
        <v>212</v>
      </c>
      <c r="U62" s="10">
        <v>0.30462906812209423</v>
      </c>
      <c r="V62" s="10">
        <v>213</v>
      </c>
      <c r="W62" s="10">
        <v>0</v>
      </c>
      <c r="X62" s="10">
        <v>2024</v>
      </c>
      <c r="Y62" s="10">
        <v>4.6948356807511738E-3</v>
      </c>
      <c r="Z62" s="10">
        <v>213</v>
      </c>
      <c r="AA62" s="10">
        <v>6.8518870982753166E-2</v>
      </c>
      <c r="AB62" s="12">
        <v>61</v>
      </c>
    </row>
    <row r="63" spans="1:28" x14ac:dyDescent="0.35">
      <c r="A63" s="10">
        <v>62</v>
      </c>
      <c r="B63" s="10">
        <v>42</v>
      </c>
      <c r="C63" s="10" t="s">
        <v>60</v>
      </c>
      <c r="D63" s="10" t="s">
        <v>309</v>
      </c>
      <c r="E63" s="11" t="s">
        <v>261</v>
      </c>
      <c r="F63" s="10" t="s">
        <v>73</v>
      </c>
      <c r="G63" s="10" t="s">
        <v>81</v>
      </c>
      <c r="H63" s="10" t="s">
        <v>95</v>
      </c>
      <c r="I63" s="10" t="str">
        <f t="shared" si="0"/>
        <v>NACE313233</v>
      </c>
      <c r="J63" s="10">
        <v>313233</v>
      </c>
      <c r="K63" s="10" t="s">
        <v>104</v>
      </c>
      <c r="L63" s="10" t="s">
        <v>106</v>
      </c>
      <c r="M63" s="10" t="s">
        <v>478</v>
      </c>
      <c r="N63" s="10" t="s">
        <v>106</v>
      </c>
      <c r="O63" s="10" t="s">
        <v>147</v>
      </c>
      <c r="P63" s="10" t="s">
        <v>154</v>
      </c>
      <c r="Q63" s="10" t="s">
        <v>476</v>
      </c>
      <c r="R63" s="10" t="s">
        <v>166</v>
      </c>
      <c r="S63" s="10" t="s">
        <v>467</v>
      </c>
      <c r="T63" s="10" t="s">
        <v>220</v>
      </c>
      <c r="U63" s="10">
        <v>0.29856478673943809</v>
      </c>
      <c r="V63" s="10">
        <v>213</v>
      </c>
      <c r="W63" s="10">
        <v>0</v>
      </c>
      <c r="X63" s="10">
        <v>2024</v>
      </c>
      <c r="Y63" s="10">
        <v>4.6948356807511738E-3</v>
      </c>
      <c r="Z63" s="10">
        <v>213</v>
      </c>
      <c r="AA63" s="10">
        <v>6.8518870982753166E-2</v>
      </c>
      <c r="AB63" s="12">
        <v>61</v>
      </c>
    </row>
    <row r="64" spans="1:28" x14ac:dyDescent="0.35">
      <c r="A64" s="10">
        <v>63</v>
      </c>
      <c r="B64" s="10">
        <v>42</v>
      </c>
      <c r="C64" s="10" t="s">
        <v>60</v>
      </c>
      <c r="D64" s="10" t="s">
        <v>309</v>
      </c>
      <c r="E64" s="11" t="s">
        <v>261</v>
      </c>
      <c r="F64" s="10" t="s">
        <v>73</v>
      </c>
      <c r="G64" s="10" t="s">
        <v>81</v>
      </c>
      <c r="H64" s="10" t="s">
        <v>95</v>
      </c>
      <c r="I64" s="10" t="str">
        <f t="shared" si="0"/>
        <v>NACE313233</v>
      </c>
      <c r="J64" s="10">
        <v>313233</v>
      </c>
      <c r="K64" s="10" t="s">
        <v>104</v>
      </c>
      <c r="L64" s="10" t="s">
        <v>106</v>
      </c>
      <c r="M64" s="10" t="s">
        <v>478</v>
      </c>
      <c r="N64" s="10" t="s">
        <v>106</v>
      </c>
      <c r="O64" s="10" t="s">
        <v>147</v>
      </c>
      <c r="P64" s="10" t="s">
        <v>154</v>
      </c>
      <c r="Q64" s="10" t="s">
        <v>476</v>
      </c>
      <c r="R64" s="10" t="s">
        <v>166</v>
      </c>
      <c r="S64" s="10" t="s">
        <v>471</v>
      </c>
      <c r="T64" s="10" t="s">
        <v>212</v>
      </c>
      <c r="U64" s="10">
        <v>0.36527188194865567</v>
      </c>
      <c r="V64" s="10">
        <v>213</v>
      </c>
      <c r="W64" s="10">
        <v>0</v>
      </c>
      <c r="X64" s="10">
        <v>2024</v>
      </c>
      <c r="Y64" s="10">
        <v>4.6948356807511738E-3</v>
      </c>
      <c r="Z64" s="10">
        <v>213</v>
      </c>
      <c r="AA64" s="10">
        <v>6.8518870982753166E-2</v>
      </c>
      <c r="AB64" s="12">
        <v>61</v>
      </c>
    </row>
    <row r="65" spans="1:28" x14ac:dyDescent="0.35">
      <c r="A65" s="10">
        <v>64</v>
      </c>
      <c r="B65" s="10">
        <v>42</v>
      </c>
      <c r="C65" s="10" t="s">
        <v>60</v>
      </c>
      <c r="D65" s="10" t="s">
        <v>309</v>
      </c>
      <c r="E65" s="11" t="s">
        <v>261</v>
      </c>
      <c r="F65" s="10" t="s">
        <v>73</v>
      </c>
      <c r="G65" s="10" t="s">
        <v>81</v>
      </c>
      <c r="H65" s="10" t="s">
        <v>95</v>
      </c>
      <c r="I65" s="10" t="str">
        <f t="shared" si="0"/>
        <v>NACE313233</v>
      </c>
      <c r="J65" s="10">
        <v>313233</v>
      </c>
      <c r="K65" s="10" t="s">
        <v>104</v>
      </c>
      <c r="L65" s="10" t="s">
        <v>106</v>
      </c>
      <c r="M65" s="10" t="s">
        <v>478</v>
      </c>
      <c r="N65" s="10" t="s">
        <v>106</v>
      </c>
      <c r="O65" s="10" t="s">
        <v>147</v>
      </c>
      <c r="P65" s="10" t="s">
        <v>154</v>
      </c>
      <c r="Q65" s="10" t="s">
        <v>476</v>
      </c>
      <c r="R65" s="10" t="s">
        <v>166</v>
      </c>
      <c r="S65" s="10" t="s">
        <v>471</v>
      </c>
      <c r="T65" s="10" t="s">
        <v>212</v>
      </c>
      <c r="U65" s="10">
        <v>0.30665049524964633</v>
      </c>
      <c r="V65" s="10">
        <v>213</v>
      </c>
      <c r="W65" s="10">
        <v>0</v>
      </c>
      <c r="X65" s="10">
        <v>2024</v>
      </c>
      <c r="Y65" s="10">
        <v>4.6948356807511738E-3</v>
      </c>
      <c r="Z65" s="10">
        <v>213</v>
      </c>
      <c r="AA65" s="10">
        <v>6.8518870982753166E-2</v>
      </c>
      <c r="AB65" s="12">
        <v>61</v>
      </c>
    </row>
    <row r="66" spans="1:28" x14ac:dyDescent="0.35">
      <c r="A66" s="10">
        <v>65</v>
      </c>
      <c r="B66" s="10">
        <v>43</v>
      </c>
      <c r="C66" s="10" t="s">
        <v>61</v>
      </c>
      <c r="D66" s="10" t="s">
        <v>310</v>
      </c>
      <c r="E66" s="11" t="s">
        <v>262</v>
      </c>
      <c r="F66" s="10" t="s">
        <v>73</v>
      </c>
      <c r="G66" s="10" t="s">
        <v>81</v>
      </c>
      <c r="H66" s="10" t="s">
        <v>95</v>
      </c>
      <c r="I66" s="10" t="str">
        <f t="shared" si="0"/>
        <v>NACE313233</v>
      </c>
      <c r="J66" s="10">
        <v>313233</v>
      </c>
      <c r="K66" s="10" t="s">
        <v>104</v>
      </c>
      <c r="L66" s="10" t="s">
        <v>131</v>
      </c>
      <c r="M66" s="10" t="s">
        <v>479</v>
      </c>
      <c r="N66" s="10" t="s">
        <v>138</v>
      </c>
      <c r="O66" s="10" t="s">
        <v>150</v>
      </c>
      <c r="P66" s="10" t="s">
        <v>159</v>
      </c>
      <c r="Q66" s="10" t="s">
        <v>475</v>
      </c>
      <c r="R66" s="10" t="s">
        <v>163</v>
      </c>
      <c r="S66" s="10" t="s">
        <v>467</v>
      </c>
      <c r="T66" s="10" t="s">
        <v>220</v>
      </c>
      <c r="U66" s="10">
        <v>0.39400000000000002</v>
      </c>
      <c r="V66" s="10">
        <v>127</v>
      </c>
      <c r="W66" s="10">
        <v>1</v>
      </c>
      <c r="X66" s="10">
        <v>2024</v>
      </c>
      <c r="Y66" s="10">
        <v>7.874015748031496E-3</v>
      </c>
      <c r="Z66" s="10">
        <v>127</v>
      </c>
      <c r="AA66" s="10">
        <v>8.8735650941611371E-2</v>
      </c>
      <c r="AB66" s="12">
        <v>61</v>
      </c>
    </row>
    <row r="67" spans="1:28" x14ac:dyDescent="0.35">
      <c r="A67" s="10">
        <v>66</v>
      </c>
      <c r="B67" s="10">
        <v>43</v>
      </c>
      <c r="C67" s="10" t="s">
        <v>61</v>
      </c>
      <c r="D67" s="10" t="s">
        <v>310</v>
      </c>
      <c r="E67" s="11" t="s">
        <v>262</v>
      </c>
      <c r="F67" s="10" t="s">
        <v>73</v>
      </c>
      <c r="G67" s="10" t="s">
        <v>81</v>
      </c>
      <c r="H67" s="10" t="s">
        <v>95</v>
      </c>
      <c r="I67" s="10" t="str">
        <f t="shared" ref="I67:I76" si="1">CONCATENATE("NACE", J67)</f>
        <v>NACE313233</v>
      </c>
      <c r="J67" s="10">
        <v>313233</v>
      </c>
      <c r="K67" s="10" t="s">
        <v>104</v>
      </c>
      <c r="L67" s="10" t="s">
        <v>131</v>
      </c>
      <c r="M67" s="10" t="s">
        <v>479</v>
      </c>
      <c r="N67" s="10" t="s">
        <v>138</v>
      </c>
      <c r="O67" s="10" t="s">
        <v>149</v>
      </c>
      <c r="P67" s="10" t="s">
        <v>159</v>
      </c>
      <c r="Q67" s="10" t="s">
        <v>475</v>
      </c>
      <c r="R67" s="10" t="s">
        <v>163</v>
      </c>
      <c r="S67" s="10" t="s">
        <v>467</v>
      </c>
      <c r="T67" s="10" t="s">
        <v>220</v>
      </c>
      <c r="U67" s="10">
        <v>0.51300000000000001</v>
      </c>
      <c r="V67" s="10">
        <v>127</v>
      </c>
      <c r="W67" s="10">
        <v>1</v>
      </c>
      <c r="X67" s="10">
        <v>2024</v>
      </c>
      <c r="Y67" s="10">
        <v>7.874015748031496E-3</v>
      </c>
      <c r="Z67" s="10">
        <v>127</v>
      </c>
      <c r="AA67" s="10">
        <v>8.8735650941611371E-2</v>
      </c>
      <c r="AB67" s="12">
        <v>61</v>
      </c>
    </row>
    <row r="68" spans="1:28" x14ac:dyDescent="0.35">
      <c r="A68" s="10">
        <v>67</v>
      </c>
      <c r="B68" s="10">
        <v>44</v>
      </c>
      <c r="C68" s="10" t="s">
        <v>62</v>
      </c>
      <c r="D68" s="10" t="s">
        <v>311</v>
      </c>
      <c r="E68" s="11" t="s">
        <v>263</v>
      </c>
      <c r="F68" s="10" t="s">
        <v>73</v>
      </c>
      <c r="G68" s="10" t="s">
        <v>84</v>
      </c>
      <c r="H68" s="10" t="s">
        <v>95</v>
      </c>
      <c r="I68" s="10" t="str">
        <f t="shared" si="1"/>
        <v>NACE313233</v>
      </c>
      <c r="J68" s="10">
        <v>313233</v>
      </c>
      <c r="K68" s="10" t="s">
        <v>104</v>
      </c>
      <c r="L68" s="10" t="s">
        <v>137</v>
      </c>
      <c r="M68" s="10" t="s">
        <v>478</v>
      </c>
      <c r="N68" s="10" t="s">
        <v>137</v>
      </c>
      <c r="O68" s="10" t="s">
        <v>147</v>
      </c>
      <c r="P68" s="10" t="s">
        <v>155</v>
      </c>
      <c r="Q68" s="10" t="s">
        <v>476</v>
      </c>
      <c r="R68" s="10" t="s">
        <v>166</v>
      </c>
      <c r="S68" s="10" t="s">
        <v>470</v>
      </c>
      <c r="T68" s="10" t="s">
        <v>195</v>
      </c>
      <c r="U68" s="10">
        <v>0.188</v>
      </c>
      <c r="V68" s="10">
        <v>318</v>
      </c>
      <c r="W68" s="10">
        <v>1</v>
      </c>
      <c r="X68" s="10">
        <v>2024</v>
      </c>
      <c r="Y68" s="10">
        <v>3.1446540880503151E-3</v>
      </c>
      <c r="Z68" s="10">
        <v>318</v>
      </c>
      <c r="AA68" s="10">
        <v>5.6077215409204434E-2</v>
      </c>
      <c r="AB68" s="12">
        <v>62</v>
      </c>
    </row>
    <row r="69" spans="1:28" x14ac:dyDescent="0.35">
      <c r="A69" s="10">
        <v>68</v>
      </c>
      <c r="B69" s="10">
        <v>45</v>
      </c>
      <c r="C69" s="10" t="s">
        <v>63</v>
      </c>
      <c r="D69" s="10" t="s">
        <v>312</v>
      </c>
      <c r="E69" s="11" t="s">
        <v>264</v>
      </c>
      <c r="F69" s="10" t="s">
        <v>73</v>
      </c>
      <c r="G69" s="10" t="s">
        <v>84</v>
      </c>
      <c r="H69" s="10" t="s">
        <v>95</v>
      </c>
      <c r="I69" s="10" t="str">
        <f t="shared" si="1"/>
        <v>NACE313233</v>
      </c>
      <c r="J69" s="10">
        <v>313233</v>
      </c>
      <c r="K69" s="10" t="s">
        <v>104</v>
      </c>
      <c r="L69" s="10" t="s">
        <v>106</v>
      </c>
      <c r="M69" s="10" t="s">
        <v>478</v>
      </c>
      <c r="N69" s="10" t="s">
        <v>106</v>
      </c>
      <c r="O69" s="10" t="s">
        <v>147</v>
      </c>
      <c r="P69" s="10" t="s">
        <v>154</v>
      </c>
      <c r="Q69" s="10" t="s">
        <v>476</v>
      </c>
      <c r="R69" s="10" t="s">
        <v>190</v>
      </c>
      <c r="S69" s="10" t="s">
        <v>470</v>
      </c>
      <c r="T69" s="10" t="s">
        <v>195</v>
      </c>
      <c r="U69" s="10">
        <v>0.1346270466949667</v>
      </c>
      <c r="V69" s="10">
        <v>200</v>
      </c>
      <c r="W69" s="10">
        <v>0</v>
      </c>
      <c r="X69" s="10">
        <v>2024</v>
      </c>
      <c r="Y69" s="10">
        <v>5.0000000000000001E-3</v>
      </c>
      <c r="Z69" s="10">
        <v>200</v>
      </c>
      <c r="AA69" s="10">
        <v>7.0710678118654752E-2</v>
      </c>
      <c r="AB69" s="12">
        <v>62</v>
      </c>
    </row>
    <row r="70" spans="1:28" x14ac:dyDescent="0.35">
      <c r="A70" s="10">
        <v>69</v>
      </c>
      <c r="B70" s="10">
        <v>45</v>
      </c>
      <c r="C70" s="10" t="s">
        <v>63</v>
      </c>
      <c r="D70" s="10" t="s">
        <v>312</v>
      </c>
      <c r="E70" s="11" t="s">
        <v>264</v>
      </c>
      <c r="F70" s="10" t="s">
        <v>73</v>
      </c>
      <c r="G70" s="10" t="s">
        <v>84</v>
      </c>
      <c r="H70" s="10" t="s">
        <v>95</v>
      </c>
      <c r="I70" s="10" t="str">
        <f t="shared" si="1"/>
        <v>NACE313233</v>
      </c>
      <c r="J70" s="10">
        <v>313233</v>
      </c>
      <c r="K70" s="10" t="s">
        <v>104</v>
      </c>
      <c r="L70" s="10" t="s">
        <v>106</v>
      </c>
      <c r="M70" s="10" t="s">
        <v>478</v>
      </c>
      <c r="N70" s="10" t="s">
        <v>106</v>
      </c>
      <c r="O70" s="10" t="s">
        <v>147</v>
      </c>
      <c r="P70" s="10" t="s">
        <v>154</v>
      </c>
      <c r="Q70" s="10" t="s">
        <v>476</v>
      </c>
      <c r="R70" s="10" t="s">
        <v>191</v>
      </c>
      <c r="S70" s="10" t="s">
        <v>470</v>
      </c>
      <c r="T70" s="10" t="s">
        <v>195</v>
      </c>
      <c r="U70" s="10">
        <v>0.112</v>
      </c>
      <c r="V70" s="10">
        <v>200</v>
      </c>
      <c r="W70" s="10">
        <v>0</v>
      </c>
      <c r="X70" s="10">
        <v>2024</v>
      </c>
      <c r="Y70" s="10">
        <v>5.0000000000000001E-3</v>
      </c>
      <c r="Z70" s="10">
        <v>200</v>
      </c>
      <c r="AA70" s="10">
        <v>7.0710678118654752E-2</v>
      </c>
      <c r="AB70" s="12">
        <v>62</v>
      </c>
    </row>
    <row r="71" spans="1:28" x14ac:dyDescent="0.35">
      <c r="A71" s="10">
        <v>70</v>
      </c>
      <c r="B71" s="10">
        <v>46</v>
      </c>
      <c r="C71" s="10" t="s">
        <v>485</v>
      </c>
      <c r="D71" s="10" t="s">
        <v>504</v>
      </c>
      <c r="E71" s="11" t="s">
        <v>487</v>
      </c>
      <c r="F71" s="10" t="s">
        <v>67</v>
      </c>
      <c r="G71" s="10" t="s">
        <v>84</v>
      </c>
      <c r="H71" s="10" t="s">
        <v>75</v>
      </c>
      <c r="I71" s="10" t="str">
        <f t="shared" si="1"/>
        <v>NACE313233</v>
      </c>
      <c r="J71" s="10">
        <v>313233</v>
      </c>
      <c r="K71" s="10" t="s">
        <v>105</v>
      </c>
      <c r="L71" s="10" t="s">
        <v>118</v>
      </c>
      <c r="M71" s="10" t="s">
        <v>478</v>
      </c>
      <c r="N71" s="10" t="s">
        <v>118</v>
      </c>
      <c r="O71" s="10" t="s">
        <v>147</v>
      </c>
      <c r="P71" s="10" t="s">
        <v>154</v>
      </c>
      <c r="Q71" s="10" t="s">
        <v>476</v>
      </c>
      <c r="R71" s="10" t="s">
        <v>166</v>
      </c>
      <c r="S71" s="10" t="s">
        <v>469</v>
      </c>
      <c r="T71" s="10" t="s">
        <v>486</v>
      </c>
      <c r="U71" s="10">
        <v>0.41</v>
      </c>
      <c r="V71" s="10">
        <v>334</v>
      </c>
      <c r="W71" s="10">
        <v>0</v>
      </c>
      <c r="X71" s="10">
        <v>2025</v>
      </c>
      <c r="Y71" s="10">
        <f>1/V71</f>
        <v>2.9940119760479044E-3</v>
      </c>
      <c r="Z71" s="10">
        <f>V71</f>
        <v>334</v>
      </c>
      <c r="AA71" s="13">
        <f t="shared" ref="AA71:AA76" si="2">SQRT(Y71)</f>
        <v>5.4717565516458282E-2</v>
      </c>
      <c r="AB71" s="12">
        <v>62</v>
      </c>
    </row>
    <row r="72" spans="1:28" x14ac:dyDescent="0.35">
      <c r="A72" s="10">
        <v>71</v>
      </c>
      <c r="B72" s="10">
        <v>47</v>
      </c>
      <c r="C72" s="10" t="s">
        <v>488</v>
      </c>
      <c r="D72" s="10" t="s">
        <v>505</v>
      </c>
      <c r="E72" s="11" t="s">
        <v>490</v>
      </c>
      <c r="F72" s="10" t="s">
        <v>489</v>
      </c>
      <c r="G72" s="10" t="s">
        <v>484</v>
      </c>
      <c r="H72" s="10" t="s">
        <v>95</v>
      </c>
      <c r="I72" s="10" t="str">
        <f t="shared" si="1"/>
        <v>NACE313233</v>
      </c>
      <c r="J72" s="10">
        <v>313233</v>
      </c>
      <c r="K72" s="10" t="s">
        <v>104</v>
      </c>
      <c r="L72" s="10" t="s">
        <v>114</v>
      </c>
      <c r="M72" s="10" t="s">
        <v>478</v>
      </c>
      <c r="N72" s="10" t="s">
        <v>138</v>
      </c>
      <c r="O72" s="10" t="s">
        <v>149</v>
      </c>
      <c r="P72" s="10" t="s">
        <v>159</v>
      </c>
      <c r="Q72" s="10" t="s">
        <v>475</v>
      </c>
      <c r="R72" s="10" t="s">
        <v>163</v>
      </c>
      <c r="S72" s="10" t="s">
        <v>470</v>
      </c>
      <c r="T72" s="10" t="s">
        <v>195</v>
      </c>
      <c r="U72" s="10">
        <v>0.153</v>
      </c>
      <c r="V72" s="10">
        <v>89</v>
      </c>
      <c r="W72" s="10">
        <v>1</v>
      </c>
      <c r="X72" s="10">
        <v>2025</v>
      </c>
      <c r="Y72" s="10">
        <f>1/V72</f>
        <v>1.1235955056179775E-2</v>
      </c>
      <c r="Z72" s="10">
        <f>V72</f>
        <v>89</v>
      </c>
      <c r="AA72" s="13">
        <f t="shared" si="2"/>
        <v>0.105999788000636</v>
      </c>
      <c r="AB72" s="12">
        <v>28</v>
      </c>
    </row>
    <row r="73" spans="1:28" x14ac:dyDescent="0.35">
      <c r="A73" s="10">
        <v>72</v>
      </c>
      <c r="B73" s="10">
        <v>48</v>
      </c>
      <c r="C73" s="10" t="s">
        <v>491</v>
      </c>
      <c r="D73" s="10" t="s">
        <v>506</v>
      </c>
      <c r="E73" s="11" t="s">
        <v>493</v>
      </c>
      <c r="F73" s="10" t="s">
        <v>67</v>
      </c>
      <c r="G73" s="10" t="s">
        <v>84</v>
      </c>
      <c r="H73" s="10" t="s">
        <v>95</v>
      </c>
      <c r="I73" s="10" t="str">
        <f t="shared" si="1"/>
        <v>NACE313233</v>
      </c>
      <c r="J73" s="10">
        <v>313233</v>
      </c>
      <c r="K73" s="10" t="s">
        <v>104</v>
      </c>
      <c r="L73" s="10" t="s">
        <v>131</v>
      </c>
      <c r="M73" s="10" t="s">
        <v>479</v>
      </c>
      <c r="N73" s="10" t="s">
        <v>138</v>
      </c>
      <c r="O73" s="10" t="s">
        <v>149</v>
      </c>
      <c r="P73" s="10" t="s">
        <v>155</v>
      </c>
      <c r="Q73" s="10" t="s">
        <v>475</v>
      </c>
      <c r="R73" s="10" t="s">
        <v>163</v>
      </c>
      <c r="S73" s="10" t="s">
        <v>470</v>
      </c>
      <c r="T73" s="10" t="s">
        <v>492</v>
      </c>
      <c r="U73" s="10">
        <v>0.49099999999999999</v>
      </c>
      <c r="V73" s="10">
        <v>294</v>
      </c>
      <c r="W73" s="10">
        <v>1</v>
      </c>
      <c r="X73" s="10">
        <v>2025</v>
      </c>
      <c r="Y73" s="10">
        <f>1/V73</f>
        <v>3.4013605442176869E-3</v>
      </c>
      <c r="Z73" s="10">
        <f>V73</f>
        <v>294</v>
      </c>
      <c r="AA73" s="13">
        <f t="shared" si="2"/>
        <v>5.8321184351980429E-2</v>
      </c>
      <c r="AB73" s="12">
        <v>62</v>
      </c>
    </row>
    <row r="74" spans="1:28" x14ac:dyDescent="0.35">
      <c r="A74" s="10">
        <v>73</v>
      </c>
      <c r="B74" s="10">
        <v>49</v>
      </c>
      <c r="C74" s="10" t="s">
        <v>494</v>
      </c>
      <c r="D74" s="10" t="s">
        <v>507</v>
      </c>
      <c r="E74" s="11" t="s">
        <v>496</v>
      </c>
      <c r="F74" s="10" t="s">
        <v>495</v>
      </c>
      <c r="G74" s="10" t="s">
        <v>84</v>
      </c>
      <c r="H74" s="10" t="s">
        <v>95</v>
      </c>
      <c r="I74" s="10" t="str">
        <f t="shared" si="1"/>
        <v>NACE313233</v>
      </c>
      <c r="J74" s="10">
        <v>313233</v>
      </c>
      <c r="K74" s="10" t="s">
        <v>104</v>
      </c>
      <c r="L74" s="10" t="s">
        <v>106</v>
      </c>
      <c r="M74" s="10" t="s">
        <v>479</v>
      </c>
      <c r="N74" s="10" t="s">
        <v>138</v>
      </c>
      <c r="O74" s="10" t="s">
        <v>150</v>
      </c>
      <c r="P74" s="10" t="s">
        <v>155</v>
      </c>
      <c r="Q74" s="10" t="s">
        <v>475</v>
      </c>
      <c r="R74" s="10" t="s">
        <v>163</v>
      </c>
      <c r="S74" s="10" t="s">
        <v>471</v>
      </c>
      <c r="T74" s="10" t="s">
        <v>213</v>
      </c>
      <c r="U74" s="10">
        <v>0.20399999999999999</v>
      </c>
      <c r="V74" s="10">
        <v>519</v>
      </c>
      <c r="W74" s="10">
        <v>1</v>
      </c>
      <c r="X74" s="10">
        <v>2025</v>
      </c>
      <c r="Y74" s="10">
        <f>1/V74</f>
        <v>1.9267822736030828E-3</v>
      </c>
      <c r="Z74" s="10">
        <f>V74</f>
        <v>519</v>
      </c>
      <c r="AA74" s="13">
        <f t="shared" si="2"/>
        <v>4.3895128130614712E-2</v>
      </c>
      <c r="AB74" s="12">
        <v>62</v>
      </c>
    </row>
    <row r="75" spans="1:28" x14ac:dyDescent="0.35">
      <c r="A75" s="10">
        <v>74</v>
      </c>
      <c r="B75" s="10">
        <v>50</v>
      </c>
      <c r="C75" s="10" t="s">
        <v>497</v>
      </c>
      <c r="D75" s="10" t="s">
        <v>508</v>
      </c>
      <c r="E75" s="11" t="s">
        <v>498</v>
      </c>
      <c r="F75" s="10" t="s">
        <v>67</v>
      </c>
      <c r="G75" s="10" t="s">
        <v>358</v>
      </c>
      <c r="H75" s="10" t="s">
        <v>95</v>
      </c>
      <c r="I75" s="10" t="str">
        <f t="shared" si="1"/>
        <v>NACE313233</v>
      </c>
      <c r="J75" s="10">
        <v>313233</v>
      </c>
      <c r="K75" s="10" t="s">
        <v>104</v>
      </c>
      <c r="L75" s="10" t="s">
        <v>132</v>
      </c>
      <c r="M75" s="10" t="s">
        <v>479</v>
      </c>
      <c r="N75" s="10" t="s">
        <v>138</v>
      </c>
      <c r="O75" s="10" t="s">
        <v>149</v>
      </c>
      <c r="P75" s="10" t="s">
        <v>155</v>
      </c>
      <c r="Q75" s="10" t="s">
        <v>475</v>
      </c>
      <c r="R75" s="10" t="s">
        <v>163</v>
      </c>
      <c r="S75" s="10" t="s">
        <v>470</v>
      </c>
      <c r="T75" s="10" t="s">
        <v>196</v>
      </c>
      <c r="U75" s="10">
        <v>0.20899999999999999</v>
      </c>
      <c r="V75" s="10">
        <v>265</v>
      </c>
      <c r="W75" s="10">
        <v>1</v>
      </c>
      <c r="X75" s="10">
        <v>2025</v>
      </c>
      <c r="Y75" s="10">
        <f>1/V75</f>
        <v>3.7735849056603774E-3</v>
      </c>
      <c r="Z75" s="10">
        <f>V75</f>
        <v>265</v>
      </c>
      <c r="AA75" s="13">
        <f t="shared" si="2"/>
        <v>6.1429511683395117E-2</v>
      </c>
      <c r="AB75" s="12">
        <v>46</v>
      </c>
    </row>
    <row r="76" spans="1:28" x14ac:dyDescent="0.35">
      <c r="A76" s="10">
        <v>75</v>
      </c>
      <c r="B76" s="10">
        <v>51</v>
      </c>
      <c r="C76" s="10" t="s">
        <v>499</v>
      </c>
      <c r="D76" s="10" t="s">
        <v>509</v>
      </c>
      <c r="E76" s="11" t="s">
        <v>502</v>
      </c>
      <c r="F76" s="10" t="s">
        <v>500</v>
      </c>
      <c r="G76" s="10" t="s">
        <v>84</v>
      </c>
      <c r="H76" s="10" t="s">
        <v>95</v>
      </c>
      <c r="I76" s="10" t="str">
        <f t="shared" si="1"/>
        <v>NACE313233</v>
      </c>
      <c r="J76" s="10">
        <v>313233</v>
      </c>
      <c r="K76" s="10" t="s">
        <v>105</v>
      </c>
      <c r="L76" s="10" t="s">
        <v>106</v>
      </c>
      <c r="M76" s="10" t="s">
        <v>479</v>
      </c>
      <c r="N76" s="10" t="s">
        <v>138</v>
      </c>
      <c r="O76" s="10" t="s">
        <v>150</v>
      </c>
      <c r="P76" s="10" t="s">
        <v>154</v>
      </c>
      <c r="Q76" s="10" t="s">
        <v>474</v>
      </c>
      <c r="R76" s="10" t="s">
        <v>183</v>
      </c>
      <c r="S76" s="10" t="s">
        <v>471</v>
      </c>
      <c r="T76" s="10" t="s">
        <v>501</v>
      </c>
      <c r="U76" s="10">
        <v>0.52600000000000002</v>
      </c>
      <c r="V76" s="10">
        <v>2523</v>
      </c>
      <c r="W76" s="10">
        <v>1</v>
      </c>
      <c r="X76" s="10">
        <v>2026</v>
      </c>
      <c r="Y76" s="10">
        <f>1/V76</f>
        <v>3.9635354736424893E-4</v>
      </c>
      <c r="Z76" s="10">
        <f>V76</f>
        <v>2523</v>
      </c>
      <c r="AA76" s="13">
        <f t="shared" si="2"/>
        <v>1.9908629972056061E-2</v>
      </c>
      <c r="AB76" s="12">
        <v>62</v>
      </c>
    </row>
    <row r="77" spans="1:28" x14ac:dyDescent="0.35">
      <c r="E77" s="11"/>
      <c r="AB77" s="12"/>
    </row>
    <row r="78" spans="1:28" x14ac:dyDescent="0.35">
      <c r="E78" s="11"/>
      <c r="AB78" s="12"/>
    </row>
    <row r="79" spans="1:28" x14ac:dyDescent="0.35">
      <c r="E79" s="11"/>
      <c r="AB79" s="12"/>
    </row>
  </sheetData>
  <hyperlinks>
    <hyperlink ref="E2" r:id="rId1" xr:uid="{152D668F-27D0-4598-9F5B-C2552FA97573}"/>
    <hyperlink ref="E3" r:id="rId2" xr:uid="{A2711F28-248B-49B2-9D0C-0F018E7EAA44}"/>
    <hyperlink ref="E4" r:id="rId3" xr:uid="{A826618B-683D-49E7-BBEE-B108F6ABC56C}"/>
    <hyperlink ref="E5" r:id="rId4" xr:uid="{213F6005-D13D-45A1-AA6F-61D04FB6A323}"/>
    <hyperlink ref="E6" r:id="rId5" xr:uid="{C9BD8775-3679-480F-AD8F-5E9547312128}"/>
    <hyperlink ref="E7" r:id="rId6" xr:uid="{6F56F43E-AB5F-4B74-9FBC-2171A8F6BCA8}"/>
    <hyperlink ref="E8" r:id="rId7" xr:uid="{DFFB1994-3F1A-4932-9048-0EE88E2B9500}"/>
    <hyperlink ref="E9" r:id="rId8" xr:uid="{EA9DDF87-EB33-429F-B264-B01D6FEB1AAF}"/>
    <hyperlink ref="E10" r:id="rId9" xr:uid="{593A8588-F2F8-4905-9380-9C2758257D8B}"/>
    <hyperlink ref="E11" r:id="rId10" xr:uid="{F313BA58-06F9-4AD2-8B9C-34B3A01ACA59}"/>
    <hyperlink ref="E12" r:id="rId11" xr:uid="{CC057EC8-1FBF-4639-83F0-C4D8991C2E90}"/>
    <hyperlink ref="E13" r:id="rId12" xr:uid="{8E5F87A6-4EB3-4419-BB67-7FAE7BF99011}"/>
    <hyperlink ref="E14" r:id="rId13" xr:uid="{D19042DB-D6CD-41E1-ADC6-3628BA781A2E}"/>
    <hyperlink ref="E15" r:id="rId14" xr:uid="{9F4E6AF6-C120-47F1-A97E-28F59494A825}"/>
    <hyperlink ref="E16" r:id="rId15" xr:uid="{C7665360-E6F3-4831-AEE6-E4864CE45656}"/>
    <hyperlink ref="E17" r:id="rId16" xr:uid="{48FF9D3F-16E9-46B6-B220-905306CB4355}"/>
    <hyperlink ref="E18" r:id="rId17" xr:uid="{81B84296-0301-40CD-8483-A894B5C4F8AE}"/>
    <hyperlink ref="E19" r:id="rId18" xr:uid="{84FCD457-96DB-459E-8F41-69699D79C0D5}"/>
    <hyperlink ref="E20" r:id="rId19" xr:uid="{8CB7C3B1-8A71-4875-B789-789E61A06E1A}"/>
    <hyperlink ref="E21" r:id="rId20" xr:uid="{9C65A41E-AF46-4B07-B0B3-8E0B8A328407}"/>
    <hyperlink ref="E22" r:id="rId21" xr:uid="{863CBC21-351E-4667-ADE3-BD2225CC536A}"/>
    <hyperlink ref="E23" r:id="rId22" xr:uid="{E5E91AC7-C431-44C9-872B-5B2857D6B8FC}"/>
    <hyperlink ref="E24" r:id="rId23" xr:uid="{29C3A827-213A-422F-81FE-BAA534E17097}"/>
    <hyperlink ref="E25" r:id="rId24" xr:uid="{0F144A8E-DAE7-4C13-8BF3-E0ED88D1AB11}"/>
    <hyperlink ref="E26" r:id="rId25" xr:uid="{240DF08A-CF83-4DE9-8A08-031A2AB83D85}"/>
    <hyperlink ref="E27" r:id="rId26" xr:uid="{AADB715D-FFED-4051-BAA2-565E54AD85F1}"/>
    <hyperlink ref="E28" r:id="rId27" xr:uid="{9EDA30B2-BAA6-4AE7-8B29-1CBB5816A82B}"/>
    <hyperlink ref="E29" r:id="rId28" xr:uid="{309869E1-6AE3-425F-A835-476FD02DE140}"/>
    <hyperlink ref="E30" r:id="rId29" xr:uid="{A8B8D5CA-248B-4A44-B252-CBA286B8D188}"/>
    <hyperlink ref="E31" r:id="rId30" xr:uid="{36C8817F-DCDC-45F2-8106-037EEE9F7536}"/>
    <hyperlink ref="E32" r:id="rId31" xr:uid="{E2209ECE-A4A0-4316-AE9B-DA270B0BF49E}"/>
    <hyperlink ref="E33" r:id="rId32" xr:uid="{B07FD0CF-922E-4FE8-AAB8-71B6B9F5169B}"/>
    <hyperlink ref="E34" r:id="rId33" xr:uid="{9AB91378-5358-4AF7-AC70-9BED5C566318}"/>
    <hyperlink ref="E35" r:id="rId34" xr:uid="{BE9E0F6A-5989-4BFC-86AB-A5771C329912}"/>
    <hyperlink ref="E36" r:id="rId35" xr:uid="{05ED2568-9ADA-4C8B-8F8F-3633353A3A88}"/>
    <hyperlink ref="E37" r:id="rId36" xr:uid="{F08AE4B2-991E-4235-8DFA-CD58EAFA6313}"/>
    <hyperlink ref="E38" r:id="rId37" xr:uid="{0F8A04A4-28CD-422C-AF09-87C026116082}"/>
    <hyperlink ref="E39" r:id="rId38" xr:uid="{D09E4B5B-2B5F-407B-BEFC-7A620EDC2A38}"/>
    <hyperlink ref="E40" r:id="rId39" xr:uid="{5AB6BF03-F6F5-4054-BFAC-BB0FBDD05431}"/>
    <hyperlink ref="E41" r:id="rId40" xr:uid="{F3FA133D-0987-47BB-A460-7C6C635524AF}"/>
    <hyperlink ref="E42" r:id="rId41" xr:uid="{027CC14C-A039-4D3B-84E7-D051E442533A}"/>
    <hyperlink ref="E43" r:id="rId42" xr:uid="{7A543057-A04E-47FC-8A2B-0D027FEA8239}"/>
    <hyperlink ref="E44" r:id="rId43" xr:uid="{CED070AE-BE1E-4248-86C2-6A23D4EFE99E}"/>
    <hyperlink ref="E45" r:id="rId44" xr:uid="{87423E55-5FBF-44DA-9651-E0C8C617A21F}"/>
    <hyperlink ref="E46" r:id="rId45" xr:uid="{7E9EFB91-8EA2-4CD0-A39F-D3D4DA8E38FB}"/>
    <hyperlink ref="E47" r:id="rId46" xr:uid="{C1D880FE-74EE-4089-9FCB-AFCBDD9D7D9E}"/>
    <hyperlink ref="E48" r:id="rId47" xr:uid="{4CA83A82-C1A2-49CC-AAAF-E5CEBE712382}"/>
    <hyperlink ref="E49" r:id="rId48" xr:uid="{E85F4CE4-0876-48E0-BE0C-4CE50BA5FF26}"/>
    <hyperlink ref="E50" r:id="rId49" xr:uid="{ECC41216-0D57-4281-B69F-6C9FDD71E2F8}"/>
    <hyperlink ref="E51" r:id="rId50" xr:uid="{164CCA3E-4BD9-406A-BC9C-446A67377E9B}"/>
    <hyperlink ref="E52" r:id="rId51" xr:uid="{9453CC1C-7F02-4D4D-AB16-9243BE06B92C}"/>
    <hyperlink ref="E53" r:id="rId52" xr:uid="{A0ED34AA-9000-491E-BCFB-6CF5623A7963}"/>
    <hyperlink ref="E56" r:id="rId53" xr:uid="{40C97665-A12F-4A0F-8D52-810B979D0660}"/>
    <hyperlink ref="E57" r:id="rId54" xr:uid="{AB16FEA8-6BFD-4DA2-9944-466573FB39CE}"/>
    <hyperlink ref="E58" r:id="rId55" xr:uid="{32915ED9-2466-4961-9300-1FE4D3A2277E}"/>
    <hyperlink ref="E59" r:id="rId56" xr:uid="{4E95988B-7050-4660-AB98-A8A575C36FA0}"/>
    <hyperlink ref="E60" r:id="rId57" xr:uid="{C526FC01-F3AC-4348-A7DA-5499F8966324}"/>
    <hyperlink ref="E61" r:id="rId58" xr:uid="{4A7959AA-7444-448E-9052-CAE452FB3B8A}"/>
    <hyperlink ref="E62" r:id="rId59" xr:uid="{63EEC244-F2C7-4C45-81EB-DBF91CF949EF}"/>
    <hyperlink ref="E63" r:id="rId60" xr:uid="{26B4F693-2E5D-44FB-8014-7D074C93C363}"/>
    <hyperlink ref="E64" r:id="rId61" xr:uid="{F7275778-36C1-4877-80BB-3FDE72BDEC69}"/>
    <hyperlink ref="E65" r:id="rId62" xr:uid="{B774BAE6-8146-4DBD-A32C-11FFEC193359}"/>
    <hyperlink ref="E66" r:id="rId63" xr:uid="{72BE891C-5DB1-49B5-A742-0BC8D98A4A61}"/>
    <hyperlink ref="E67" r:id="rId64" xr:uid="{93E2F223-114C-4BD2-923B-AB6E419A431B}"/>
    <hyperlink ref="E68" r:id="rId65" xr:uid="{8E7E6CB4-51BD-4A41-80E9-2CBE2E1F30E3}"/>
    <hyperlink ref="E69" r:id="rId66" xr:uid="{D186080D-D89B-4A1B-800B-9CCC7576483C}"/>
    <hyperlink ref="E70" r:id="rId67" xr:uid="{AE9825B1-27AD-4D8B-B18D-1BBBAF30A26D}"/>
    <hyperlink ref="E71" r:id="rId68" xr:uid="{BC9345CE-F976-4F2D-AC13-666D6FE78564}"/>
    <hyperlink ref="E72" r:id="rId69" xr:uid="{7F890749-546E-4C30-8504-7C6D1EE45112}"/>
    <hyperlink ref="E73" r:id="rId70" xr:uid="{67AFAE96-A8AB-4391-9F94-533CD960C7A9}"/>
    <hyperlink ref="E74" r:id="rId71" xr:uid="{7FA20D8B-EA9C-476C-A2D6-1DE67776368B}"/>
    <hyperlink ref="E75" r:id="rId72" xr:uid="{557BF293-0F1E-4725-9053-86A910D8EC8C}"/>
    <hyperlink ref="E76" r:id="rId73" xr:uid="{5A93E6B0-9FED-4F2C-A911-C271819197D1}"/>
  </hyperlinks>
  <pageMargins left="0.7" right="0.7" top="0.75" bottom="0.75" header="0.3" footer="0.3"/>
  <pageSetup paperSize="9" orientation="portrait" r:id="rId7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305398-DF10-4024-8270-A7D7181C4227}">
  <dimension ref="A1:E98"/>
  <sheetViews>
    <sheetView topLeftCell="A2" workbookViewId="0">
      <selection activeCell="E1" sqref="E1"/>
    </sheetView>
  </sheetViews>
  <sheetFormatPr defaultColWidth="9.1796875" defaultRowHeight="14.5" x14ac:dyDescent="0.35"/>
  <cols>
    <col min="2" max="2" width="18.453125" style="3" customWidth="1"/>
    <col min="3" max="3" width="39.54296875" bestFit="1" customWidth="1"/>
    <col min="4" max="4" width="47.1796875" bestFit="1" customWidth="1"/>
    <col min="5" max="5" width="105.81640625" bestFit="1" customWidth="1"/>
  </cols>
  <sheetData>
    <row r="1" spans="1:5" x14ac:dyDescent="0.35">
      <c r="A1" s="2" t="s">
        <v>359</v>
      </c>
      <c r="B1" s="2" t="s">
        <v>320</v>
      </c>
      <c r="C1" t="s">
        <v>340</v>
      </c>
      <c r="D1" t="s">
        <v>341</v>
      </c>
      <c r="E1" t="s">
        <v>342</v>
      </c>
    </row>
    <row r="2" spans="1:5" x14ac:dyDescent="0.35">
      <c r="A2" s="4">
        <v>1</v>
      </c>
      <c r="B2" s="4" t="s">
        <v>344</v>
      </c>
    </row>
    <row r="3" spans="1:5" x14ac:dyDescent="0.35">
      <c r="A3" s="4">
        <v>2</v>
      </c>
      <c r="B3" s="4" t="s">
        <v>321</v>
      </c>
    </row>
    <row r="4" spans="1:5" x14ac:dyDescent="0.35">
      <c r="A4" s="4">
        <v>3</v>
      </c>
      <c r="B4" s="4" t="s">
        <v>322</v>
      </c>
    </row>
    <row r="5" spans="1:5" x14ac:dyDescent="0.35">
      <c r="A5" s="4">
        <v>4</v>
      </c>
      <c r="B5" s="4" t="s">
        <v>85</v>
      </c>
    </row>
    <row r="6" spans="1:5" x14ac:dyDescent="0.35">
      <c r="A6" s="4">
        <v>5</v>
      </c>
      <c r="B6" s="4" t="s">
        <v>323</v>
      </c>
    </row>
    <row r="7" spans="1:5" x14ac:dyDescent="0.35">
      <c r="A7" s="4">
        <v>6</v>
      </c>
      <c r="B7" s="4" t="s">
        <v>345</v>
      </c>
    </row>
    <row r="8" spans="1:5" x14ac:dyDescent="0.35">
      <c r="A8" s="4">
        <v>7</v>
      </c>
      <c r="B8" s="4" t="s">
        <v>84</v>
      </c>
    </row>
    <row r="9" spans="1:5" x14ac:dyDescent="0.35">
      <c r="A9" s="4">
        <v>8</v>
      </c>
      <c r="B9" s="4" t="s">
        <v>346</v>
      </c>
    </row>
    <row r="10" spans="1:5" x14ac:dyDescent="0.35">
      <c r="A10" s="4">
        <v>9</v>
      </c>
      <c r="B10" s="4" t="s">
        <v>79</v>
      </c>
    </row>
    <row r="11" spans="1:5" x14ac:dyDescent="0.35">
      <c r="A11" s="4">
        <v>10</v>
      </c>
      <c r="B11" s="4" t="s">
        <v>324</v>
      </c>
    </row>
    <row r="12" spans="1:5" x14ac:dyDescent="0.35">
      <c r="A12" s="4">
        <v>11</v>
      </c>
      <c r="B12" s="4" t="s">
        <v>347</v>
      </c>
    </row>
    <row r="13" spans="1:5" x14ac:dyDescent="0.35">
      <c r="A13" s="4">
        <v>12</v>
      </c>
      <c r="B13" s="4" t="s">
        <v>325</v>
      </c>
    </row>
    <row r="14" spans="1:5" x14ac:dyDescent="0.35">
      <c r="A14" s="4">
        <v>13</v>
      </c>
      <c r="B14" s="4" t="s">
        <v>326</v>
      </c>
    </row>
    <row r="15" spans="1:5" x14ac:dyDescent="0.35">
      <c r="A15" s="4">
        <v>14</v>
      </c>
      <c r="B15" s="4" t="s">
        <v>86</v>
      </c>
    </row>
    <row r="16" spans="1:5" x14ac:dyDescent="0.35">
      <c r="A16" s="4">
        <v>15</v>
      </c>
      <c r="B16" s="4" t="s">
        <v>327</v>
      </c>
    </row>
    <row r="17" spans="1:2" x14ac:dyDescent="0.35">
      <c r="A17" s="4">
        <v>16</v>
      </c>
      <c r="B17" s="4" t="s">
        <v>328</v>
      </c>
    </row>
    <row r="18" spans="1:2" x14ac:dyDescent="0.35">
      <c r="A18" s="4">
        <v>17</v>
      </c>
      <c r="B18" s="4" t="s">
        <v>329</v>
      </c>
    </row>
    <row r="19" spans="1:2" x14ac:dyDescent="0.35">
      <c r="A19" s="4">
        <v>18</v>
      </c>
      <c r="B19" s="4" t="s">
        <v>330</v>
      </c>
    </row>
    <row r="20" spans="1:2" x14ac:dyDescent="0.35">
      <c r="A20" s="4">
        <v>19</v>
      </c>
      <c r="B20" s="4" t="s">
        <v>88</v>
      </c>
    </row>
    <row r="21" spans="1:2" x14ac:dyDescent="0.35">
      <c r="A21" s="4">
        <v>20</v>
      </c>
      <c r="B21" s="4" t="s">
        <v>348</v>
      </c>
    </row>
    <row r="22" spans="1:2" x14ac:dyDescent="0.35">
      <c r="A22" s="4">
        <v>21</v>
      </c>
      <c r="B22" s="4" t="s">
        <v>349</v>
      </c>
    </row>
    <row r="23" spans="1:2" x14ac:dyDescent="0.35">
      <c r="A23" s="4">
        <v>22</v>
      </c>
      <c r="B23" s="4" t="s">
        <v>83</v>
      </c>
    </row>
    <row r="24" spans="1:2" x14ac:dyDescent="0.35">
      <c r="A24" s="4">
        <v>23</v>
      </c>
      <c r="B24" s="4" t="s">
        <v>331</v>
      </c>
    </row>
    <row r="25" spans="1:2" x14ac:dyDescent="0.35">
      <c r="A25" s="4">
        <v>24</v>
      </c>
      <c r="B25" s="4" t="s">
        <v>357</v>
      </c>
    </row>
    <row r="26" spans="1:2" x14ac:dyDescent="0.35">
      <c r="A26" s="4">
        <v>25</v>
      </c>
      <c r="B26" s="4" t="s">
        <v>350</v>
      </c>
    </row>
    <row r="27" spans="1:2" x14ac:dyDescent="0.35">
      <c r="A27" s="4">
        <v>26</v>
      </c>
      <c r="B27" s="4" t="s">
        <v>351</v>
      </c>
    </row>
    <row r="28" spans="1:2" x14ac:dyDescent="0.35">
      <c r="A28" s="4">
        <v>27</v>
      </c>
      <c r="B28" s="4" t="s">
        <v>352</v>
      </c>
    </row>
    <row r="29" spans="1:2" x14ac:dyDescent="0.35">
      <c r="A29" s="4">
        <v>28</v>
      </c>
      <c r="B29" s="4" t="s">
        <v>353</v>
      </c>
    </row>
    <row r="30" spans="1:2" x14ac:dyDescent="0.35">
      <c r="A30" s="4">
        <v>29</v>
      </c>
      <c r="B30" s="4" t="s">
        <v>332</v>
      </c>
    </row>
    <row r="31" spans="1:2" x14ac:dyDescent="0.35">
      <c r="A31" s="4">
        <v>30</v>
      </c>
      <c r="B31" s="4" t="s">
        <v>354</v>
      </c>
    </row>
    <row r="32" spans="1:2" x14ac:dyDescent="0.35">
      <c r="A32" s="4">
        <v>31</v>
      </c>
      <c r="B32" s="4" t="s">
        <v>354</v>
      </c>
    </row>
    <row r="33" spans="1:2" x14ac:dyDescent="0.35">
      <c r="A33" s="4">
        <v>32</v>
      </c>
      <c r="B33" s="4" t="s">
        <v>333</v>
      </c>
    </row>
    <row r="34" spans="1:2" x14ac:dyDescent="0.35">
      <c r="A34" s="4">
        <v>33</v>
      </c>
      <c r="B34" s="4" t="s">
        <v>355</v>
      </c>
    </row>
    <row r="35" spans="1:2" x14ac:dyDescent="0.35">
      <c r="A35" s="4">
        <v>34</v>
      </c>
      <c r="B35" s="4" t="s">
        <v>334</v>
      </c>
    </row>
    <row r="36" spans="1:2" x14ac:dyDescent="0.35">
      <c r="A36" s="4">
        <v>35</v>
      </c>
      <c r="B36" s="4" t="s">
        <v>335</v>
      </c>
    </row>
    <row r="37" spans="1:2" x14ac:dyDescent="0.35">
      <c r="A37" s="4">
        <v>36</v>
      </c>
      <c r="B37" s="4" t="s">
        <v>336</v>
      </c>
    </row>
    <row r="38" spans="1:2" x14ac:dyDescent="0.35">
      <c r="A38" s="4">
        <v>37</v>
      </c>
      <c r="B38" s="4" t="s">
        <v>87</v>
      </c>
    </row>
    <row r="39" spans="1:2" x14ac:dyDescent="0.35">
      <c r="A39" s="4">
        <v>38</v>
      </c>
      <c r="B39" s="4" t="s">
        <v>360</v>
      </c>
    </row>
    <row r="40" spans="1:2" x14ac:dyDescent="0.35">
      <c r="A40" s="4">
        <v>39</v>
      </c>
      <c r="B40" s="4" t="s">
        <v>356</v>
      </c>
    </row>
    <row r="41" spans="1:2" x14ac:dyDescent="0.35">
      <c r="A41" s="4">
        <v>40</v>
      </c>
      <c r="B41" s="4" t="s">
        <v>81</v>
      </c>
    </row>
    <row r="42" spans="1:2" x14ac:dyDescent="0.35">
      <c r="A42" s="4">
        <v>41</v>
      </c>
      <c r="B42" s="4" t="s">
        <v>337</v>
      </c>
    </row>
    <row r="43" spans="1:2" x14ac:dyDescent="0.35">
      <c r="A43" s="4">
        <v>42</v>
      </c>
      <c r="B43" s="4" t="s">
        <v>338</v>
      </c>
    </row>
    <row r="44" spans="1:2" x14ac:dyDescent="0.35">
      <c r="A44" s="4">
        <v>43</v>
      </c>
      <c r="B44" s="4" t="s">
        <v>358</v>
      </c>
    </row>
    <row r="45" spans="1:2" x14ac:dyDescent="0.35">
      <c r="A45" s="4">
        <v>44</v>
      </c>
      <c r="B45" s="4" t="s">
        <v>361</v>
      </c>
    </row>
    <row r="46" spans="1:2" x14ac:dyDescent="0.35">
      <c r="A46" s="4">
        <v>45</v>
      </c>
      <c r="B46" s="4" t="s">
        <v>362</v>
      </c>
    </row>
    <row r="47" spans="1:2" x14ac:dyDescent="0.35">
      <c r="A47" s="4">
        <v>46</v>
      </c>
      <c r="B47" s="4" t="s">
        <v>339</v>
      </c>
    </row>
    <row r="48" spans="1:2" x14ac:dyDescent="0.35">
      <c r="A48" s="4">
        <v>47</v>
      </c>
      <c r="B48" s="4" t="s">
        <v>363</v>
      </c>
    </row>
    <row r="49" spans="1:2" x14ac:dyDescent="0.35">
      <c r="A49" s="4">
        <v>48</v>
      </c>
      <c r="B49" s="4" t="s">
        <v>364</v>
      </c>
    </row>
    <row r="50" spans="1:2" x14ac:dyDescent="0.35">
      <c r="A50" s="4">
        <v>49</v>
      </c>
      <c r="B50" s="4" t="s">
        <v>365</v>
      </c>
    </row>
    <row r="51" spans="1:2" x14ac:dyDescent="0.35">
      <c r="A51" s="4">
        <v>50</v>
      </c>
      <c r="B51" s="4" t="s">
        <v>366</v>
      </c>
    </row>
    <row r="52" spans="1:2" x14ac:dyDescent="0.35">
      <c r="A52" s="4">
        <v>51</v>
      </c>
      <c r="B52" s="4" t="s">
        <v>367</v>
      </c>
    </row>
    <row r="53" spans="1:2" x14ac:dyDescent="0.35">
      <c r="A53" s="4">
        <v>52</v>
      </c>
      <c r="B53" s="4" t="s">
        <v>368</v>
      </c>
    </row>
    <row r="54" spans="1:2" x14ac:dyDescent="0.35">
      <c r="A54" s="4">
        <v>53</v>
      </c>
      <c r="B54" s="4" t="s">
        <v>369</v>
      </c>
    </row>
    <row r="55" spans="1:2" x14ac:dyDescent="0.35">
      <c r="A55" s="4">
        <v>54</v>
      </c>
      <c r="B55" s="4" t="s">
        <v>370</v>
      </c>
    </row>
    <row r="56" spans="1:2" x14ac:dyDescent="0.35">
      <c r="A56" s="4">
        <v>55</v>
      </c>
      <c r="B56" s="4" t="s">
        <v>371</v>
      </c>
    </row>
    <row r="57" spans="1:2" x14ac:dyDescent="0.35">
      <c r="A57" s="4">
        <v>56</v>
      </c>
      <c r="B57" s="4" t="s">
        <v>372</v>
      </c>
    </row>
    <row r="58" spans="1:2" x14ac:dyDescent="0.35">
      <c r="A58" s="4">
        <v>57</v>
      </c>
      <c r="B58" s="4" t="s">
        <v>373</v>
      </c>
    </row>
    <row r="59" spans="1:2" x14ac:dyDescent="0.35">
      <c r="A59" s="4">
        <v>58</v>
      </c>
      <c r="B59" s="4" t="s">
        <v>374</v>
      </c>
    </row>
    <row r="60" spans="1:2" x14ac:dyDescent="0.35">
      <c r="A60" s="4">
        <v>59</v>
      </c>
      <c r="B60" s="4" t="s">
        <v>375</v>
      </c>
    </row>
    <row r="61" spans="1:2" x14ac:dyDescent="0.35">
      <c r="A61" s="4">
        <v>60</v>
      </c>
      <c r="B61" s="4" t="s">
        <v>376</v>
      </c>
    </row>
    <row r="62" spans="1:2" x14ac:dyDescent="0.35">
      <c r="A62" s="4">
        <v>61</v>
      </c>
      <c r="B62" s="4" t="s">
        <v>377</v>
      </c>
    </row>
    <row r="63" spans="1:2" x14ac:dyDescent="0.35">
      <c r="B63" s="5"/>
    </row>
    <row r="64" spans="1:2" x14ac:dyDescent="0.35">
      <c r="B64" s="5"/>
    </row>
    <row r="65" spans="2:2" x14ac:dyDescent="0.35">
      <c r="B65" s="5"/>
    </row>
    <row r="66" spans="2:2" x14ac:dyDescent="0.35">
      <c r="B66" s="5"/>
    </row>
    <row r="67" spans="2:2" x14ac:dyDescent="0.35">
      <c r="B67" s="5"/>
    </row>
    <row r="68" spans="2:2" x14ac:dyDescent="0.35">
      <c r="B68" s="5"/>
    </row>
    <row r="69" spans="2:2" x14ac:dyDescent="0.35">
      <c r="B69" s="5"/>
    </row>
    <row r="70" spans="2:2" x14ac:dyDescent="0.35">
      <c r="B70" s="5"/>
    </row>
    <row r="71" spans="2:2" x14ac:dyDescent="0.35">
      <c r="B71" s="5"/>
    </row>
    <row r="72" spans="2:2" x14ac:dyDescent="0.35">
      <c r="B72" s="5"/>
    </row>
    <row r="73" spans="2:2" x14ac:dyDescent="0.35">
      <c r="B73" s="5"/>
    </row>
    <row r="74" spans="2:2" x14ac:dyDescent="0.35">
      <c r="B74" s="5"/>
    </row>
    <row r="75" spans="2:2" x14ac:dyDescent="0.35">
      <c r="B75" s="5"/>
    </row>
    <row r="76" spans="2:2" x14ac:dyDescent="0.35">
      <c r="B76" s="5"/>
    </row>
    <row r="77" spans="2:2" x14ac:dyDescent="0.35">
      <c r="B77" s="5"/>
    </row>
    <row r="78" spans="2:2" x14ac:dyDescent="0.35">
      <c r="B78" s="5"/>
    </row>
    <row r="79" spans="2:2" x14ac:dyDescent="0.35">
      <c r="B79" s="5"/>
    </row>
    <row r="80" spans="2:2" x14ac:dyDescent="0.35">
      <c r="B80" s="5"/>
    </row>
    <row r="81" spans="2:2" x14ac:dyDescent="0.35">
      <c r="B81" s="5"/>
    </row>
    <row r="82" spans="2:2" x14ac:dyDescent="0.35">
      <c r="B82" s="5"/>
    </row>
    <row r="83" spans="2:2" x14ac:dyDescent="0.35">
      <c r="B83" s="5"/>
    </row>
    <row r="84" spans="2:2" x14ac:dyDescent="0.35">
      <c r="B84" s="5"/>
    </row>
    <row r="85" spans="2:2" x14ac:dyDescent="0.35">
      <c r="B85" s="5"/>
    </row>
    <row r="86" spans="2:2" x14ac:dyDescent="0.35">
      <c r="B86" s="5"/>
    </row>
    <row r="87" spans="2:2" x14ac:dyDescent="0.35">
      <c r="B87" s="5"/>
    </row>
    <row r="88" spans="2:2" x14ac:dyDescent="0.35">
      <c r="B88" s="5"/>
    </row>
    <row r="89" spans="2:2" x14ac:dyDescent="0.35">
      <c r="B89" s="5"/>
    </row>
    <row r="90" spans="2:2" x14ac:dyDescent="0.35">
      <c r="B90" s="5"/>
    </row>
    <row r="91" spans="2:2" x14ac:dyDescent="0.35">
      <c r="B91" s="5"/>
    </row>
    <row r="92" spans="2:2" x14ac:dyDescent="0.35">
      <c r="B92" s="5"/>
    </row>
    <row r="93" spans="2:2" x14ac:dyDescent="0.35">
      <c r="B93" s="5"/>
    </row>
    <row r="94" spans="2:2" x14ac:dyDescent="0.35">
      <c r="B94" s="5"/>
    </row>
    <row r="95" spans="2:2" x14ac:dyDescent="0.35">
      <c r="B95" s="5"/>
    </row>
    <row r="96" spans="2:2" x14ac:dyDescent="0.35">
      <c r="B96" s="5"/>
    </row>
    <row r="97" spans="2:2" x14ac:dyDescent="0.35">
      <c r="B97" s="5"/>
    </row>
    <row r="98" spans="2:2" x14ac:dyDescent="0.35">
      <c r="B98" s="5"/>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385027-B525-4A19-A585-ADCC909E70DE}">
  <dimension ref="A1:D70"/>
  <sheetViews>
    <sheetView workbookViewId="0">
      <selection activeCell="B2" sqref="B2"/>
    </sheetView>
  </sheetViews>
  <sheetFormatPr defaultColWidth="9.1796875" defaultRowHeight="14.5" x14ac:dyDescent="0.35"/>
  <cols>
    <col min="1" max="1" width="29.453125" bestFit="1" customWidth="1"/>
    <col min="2" max="2" width="12.453125" bestFit="1" customWidth="1"/>
    <col min="3" max="3" width="18.1796875" bestFit="1" customWidth="1"/>
  </cols>
  <sheetData>
    <row r="1" spans="1:4" x14ac:dyDescent="0.35">
      <c r="A1" s="1" t="s">
        <v>3</v>
      </c>
      <c r="B1" t="s">
        <v>461</v>
      </c>
      <c r="C1" t="s">
        <v>462</v>
      </c>
      <c r="D1" t="s">
        <v>463</v>
      </c>
    </row>
    <row r="2" spans="1:4" x14ac:dyDescent="0.35">
      <c r="A2" t="s">
        <v>314</v>
      </c>
      <c r="B2" s="6">
        <v>61.5</v>
      </c>
      <c r="C2" s="7">
        <v>0.73799999999999999</v>
      </c>
      <c r="D2" s="6">
        <v>0.26200000000000001</v>
      </c>
    </row>
    <row r="3" spans="1:4" x14ac:dyDescent="0.35">
      <c r="A3" t="s">
        <v>79</v>
      </c>
      <c r="B3" s="6">
        <v>57</v>
      </c>
      <c r="C3" s="6">
        <v>0</v>
      </c>
      <c r="D3" s="6">
        <v>1</v>
      </c>
    </row>
    <row r="4" spans="1:4" x14ac:dyDescent="0.35">
      <c r="A4" t="s">
        <v>80</v>
      </c>
      <c r="B4" s="6">
        <v>80</v>
      </c>
      <c r="C4" s="6">
        <v>1</v>
      </c>
      <c r="D4" s="6">
        <v>0</v>
      </c>
    </row>
    <row r="5" spans="1:4" x14ac:dyDescent="0.35">
      <c r="A5" t="s">
        <v>81</v>
      </c>
      <c r="B5" s="6">
        <v>61</v>
      </c>
      <c r="C5" s="6">
        <v>0</v>
      </c>
      <c r="D5" s="6">
        <v>1</v>
      </c>
    </row>
    <row r="6" spans="1:4" x14ac:dyDescent="0.35">
      <c r="A6" t="s">
        <v>317</v>
      </c>
      <c r="B6" s="6">
        <v>73</v>
      </c>
      <c r="C6" s="6">
        <v>0.75</v>
      </c>
      <c r="D6" s="6">
        <v>0.25</v>
      </c>
    </row>
    <row r="7" spans="1:4" x14ac:dyDescent="0.35">
      <c r="A7" t="s">
        <v>465</v>
      </c>
      <c r="B7" s="6">
        <v>62.56</v>
      </c>
      <c r="C7" s="6">
        <v>0.43469999999999998</v>
      </c>
      <c r="D7" s="6">
        <f>100%-C7</f>
        <v>0.56530000000000002</v>
      </c>
    </row>
    <row r="8" spans="1:4" x14ac:dyDescent="0.35">
      <c r="A8" t="s">
        <v>83</v>
      </c>
      <c r="B8" s="6">
        <v>60</v>
      </c>
      <c r="C8" s="6">
        <v>0</v>
      </c>
      <c r="D8" s="6">
        <v>1</v>
      </c>
    </row>
    <row r="9" spans="1:4" x14ac:dyDescent="0.35">
      <c r="A9" t="s">
        <v>315</v>
      </c>
      <c r="B9" s="6">
        <v>75</v>
      </c>
      <c r="C9" s="6">
        <v>1</v>
      </c>
      <c r="D9" s="6">
        <v>0</v>
      </c>
    </row>
    <row r="10" spans="1:4" x14ac:dyDescent="0.35">
      <c r="A10" t="s">
        <v>378</v>
      </c>
      <c r="B10" s="6">
        <v>51.75</v>
      </c>
      <c r="C10" s="6">
        <v>0.2727</v>
      </c>
      <c r="D10" s="6">
        <f>100%-C10</f>
        <v>0.72730000000000006</v>
      </c>
    </row>
    <row r="11" spans="1:4" x14ac:dyDescent="0.35">
      <c r="A11" t="s">
        <v>84</v>
      </c>
      <c r="B11" s="6">
        <v>62</v>
      </c>
      <c r="C11" s="6">
        <v>0</v>
      </c>
      <c r="D11" s="6">
        <v>1</v>
      </c>
    </row>
    <row r="12" spans="1:4" x14ac:dyDescent="0.35">
      <c r="A12" t="s">
        <v>84</v>
      </c>
      <c r="B12" s="6">
        <v>62</v>
      </c>
      <c r="C12" s="6">
        <v>0</v>
      </c>
      <c r="D12" s="6">
        <v>1</v>
      </c>
    </row>
    <row r="13" spans="1:4" x14ac:dyDescent="0.35">
      <c r="A13" t="s">
        <v>84</v>
      </c>
      <c r="B13" s="6">
        <v>62</v>
      </c>
      <c r="C13" s="6">
        <v>0</v>
      </c>
      <c r="D13" s="6">
        <v>1</v>
      </c>
    </row>
    <row r="14" spans="1:4" x14ac:dyDescent="0.35">
      <c r="A14" t="s">
        <v>316</v>
      </c>
      <c r="B14" s="6">
        <v>76.5</v>
      </c>
      <c r="C14" s="6">
        <v>1</v>
      </c>
      <c r="D14" s="6">
        <v>0</v>
      </c>
    </row>
    <row r="15" spans="1:4" x14ac:dyDescent="0.35">
      <c r="A15" t="s">
        <v>83</v>
      </c>
      <c r="B15" s="6">
        <v>60</v>
      </c>
      <c r="C15" s="6">
        <v>0</v>
      </c>
      <c r="D15" s="6">
        <v>1</v>
      </c>
    </row>
    <row r="16" spans="1:4" x14ac:dyDescent="0.35">
      <c r="A16" t="s">
        <v>83</v>
      </c>
      <c r="B16" s="6">
        <v>60</v>
      </c>
      <c r="C16" s="6">
        <v>0</v>
      </c>
      <c r="D16" s="6">
        <v>1</v>
      </c>
    </row>
    <row r="17" spans="1:4" x14ac:dyDescent="0.35">
      <c r="A17" t="s">
        <v>83</v>
      </c>
      <c r="B17" s="6">
        <v>60</v>
      </c>
      <c r="C17" s="6">
        <v>0</v>
      </c>
      <c r="D17" s="6">
        <v>1</v>
      </c>
    </row>
    <row r="18" spans="1:4" x14ac:dyDescent="0.35">
      <c r="A18" t="s">
        <v>85</v>
      </c>
      <c r="B18" s="6">
        <v>47</v>
      </c>
      <c r="C18" s="6">
        <v>0</v>
      </c>
      <c r="D18" s="6">
        <v>1</v>
      </c>
    </row>
    <row r="19" spans="1:4" x14ac:dyDescent="0.35">
      <c r="A19" t="s">
        <v>85</v>
      </c>
      <c r="B19" s="6">
        <v>47</v>
      </c>
      <c r="C19" s="6">
        <v>0</v>
      </c>
      <c r="D19" s="6">
        <v>1</v>
      </c>
    </row>
    <row r="20" spans="1:4" x14ac:dyDescent="0.35">
      <c r="A20" t="s">
        <v>86</v>
      </c>
      <c r="B20" s="6">
        <v>70</v>
      </c>
      <c r="C20" s="6">
        <v>1</v>
      </c>
      <c r="D20" s="6">
        <v>0</v>
      </c>
    </row>
    <row r="21" spans="1:4" x14ac:dyDescent="0.35">
      <c r="A21" t="s">
        <v>84</v>
      </c>
      <c r="B21" s="6">
        <v>62</v>
      </c>
      <c r="C21" s="6">
        <v>0</v>
      </c>
      <c r="D21" s="6">
        <v>1</v>
      </c>
    </row>
    <row r="22" spans="1:4" x14ac:dyDescent="0.35">
      <c r="A22" t="s">
        <v>84</v>
      </c>
      <c r="B22" s="6">
        <v>62</v>
      </c>
      <c r="C22" s="6">
        <v>0</v>
      </c>
      <c r="D22" s="6">
        <v>1</v>
      </c>
    </row>
    <row r="23" spans="1:4" x14ac:dyDescent="0.35">
      <c r="A23" t="s">
        <v>84</v>
      </c>
      <c r="B23" s="6">
        <v>62</v>
      </c>
      <c r="C23" s="6">
        <v>0</v>
      </c>
      <c r="D23" s="6">
        <v>1</v>
      </c>
    </row>
    <row r="24" spans="1:4" x14ac:dyDescent="0.35">
      <c r="A24" t="s">
        <v>84</v>
      </c>
      <c r="B24" s="6">
        <v>62</v>
      </c>
      <c r="C24" s="6">
        <v>0</v>
      </c>
      <c r="D24" s="6">
        <v>1</v>
      </c>
    </row>
    <row r="25" spans="1:4" x14ac:dyDescent="0.35">
      <c r="A25" t="s">
        <v>84</v>
      </c>
      <c r="B25" s="6">
        <v>62</v>
      </c>
      <c r="C25" s="6">
        <v>0</v>
      </c>
      <c r="D25" s="6">
        <v>1</v>
      </c>
    </row>
    <row r="26" spans="1:4" x14ac:dyDescent="0.35">
      <c r="A26" t="s">
        <v>87</v>
      </c>
      <c r="B26" s="6">
        <v>45</v>
      </c>
      <c r="C26" s="6">
        <v>0</v>
      </c>
      <c r="D26" s="6">
        <v>1</v>
      </c>
    </row>
    <row r="27" spans="1:4" x14ac:dyDescent="0.35">
      <c r="A27" t="s">
        <v>85</v>
      </c>
      <c r="B27" s="6">
        <v>47</v>
      </c>
      <c r="C27" s="6">
        <v>0</v>
      </c>
      <c r="D27" s="6">
        <v>1</v>
      </c>
    </row>
    <row r="28" spans="1:4" x14ac:dyDescent="0.35">
      <c r="A28" t="s">
        <v>85</v>
      </c>
      <c r="B28" s="6">
        <v>47</v>
      </c>
      <c r="C28" s="6">
        <v>0</v>
      </c>
      <c r="D28" s="6">
        <v>1</v>
      </c>
    </row>
    <row r="29" spans="1:4" x14ac:dyDescent="0.35">
      <c r="A29" t="s">
        <v>88</v>
      </c>
      <c r="B29" s="6">
        <v>37</v>
      </c>
      <c r="C29" s="6">
        <v>0</v>
      </c>
      <c r="D29" s="6">
        <v>1</v>
      </c>
    </row>
    <row r="30" spans="1:4" x14ac:dyDescent="0.35">
      <c r="A30" t="s">
        <v>88</v>
      </c>
      <c r="B30" s="6">
        <v>37</v>
      </c>
      <c r="C30" s="6">
        <v>0</v>
      </c>
      <c r="D30" s="6">
        <v>1</v>
      </c>
    </row>
    <row r="31" spans="1:4" x14ac:dyDescent="0.35">
      <c r="A31" t="s">
        <v>318</v>
      </c>
      <c r="B31" s="6">
        <v>60.855820895522385</v>
      </c>
      <c r="C31" s="6">
        <v>0.23472537313432834</v>
      </c>
      <c r="D31" s="6">
        <v>0.76527462686567171</v>
      </c>
    </row>
    <row r="32" spans="1:4" x14ac:dyDescent="0.35">
      <c r="A32" t="s">
        <v>318</v>
      </c>
      <c r="B32" s="6">
        <v>60.855820895522385</v>
      </c>
      <c r="C32" s="6">
        <v>0.23472537313432834</v>
      </c>
      <c r="D32" s="6">
        <v>0.76527462686567171</v>
      </c>
    </row>
    <row r="33" spans="1:4" x14ac:dyDescent="0.35">
      <c r="A33" t="s">
        <v>89</v>
      </c>
      <c r="B33" s="6">
        <v>72.5</v>
      </c>
      <c r="C33" s="6">
        <v>1</v>
      </c>
      <c r="D33" s="6">
        <v>0</v>
      </c>
    </row>
    <row r="34" spans="1:4" x14ac:dyDescent="0.35">
      <c r="A34" t="s">
        <v>89</v>
      </c>
      <c r="B34" s="6">
        <v>72.5</v>
      </c>
      <c r="C34" s="6">
        <v>1</v>
      </c>
      <c r="D34" s="6">
        <v>0</v>
      </c>
    </row>
    <row r="35" spans="1:4" x14ac:dyDescent="0.35">
      <c r="A35" t="s">
        <v>89</v>
      </c>
      <c r="B35" s="6">
        <v>72.5</v>
      </c>
      <c r="C35" s="6">
        <v>1</v>
      </c>
      <c r="D35" s="6">
        <v>0</v>
      </c>
    </row>
    <row r="36" spans="1:4" x14ac:dyDescent="0.35">
      <c r="A36" t="s">
        <v>90</v>
      </c>
      <c r="B36" s="6">
        <v>77.3</v>
      </c>
      <c r="C36" s="6">
        <v>1</v>
      </c>
      <c r="D36" s="6">
        <v>0</v>
      </c>
    </row>
    <row r="37" spans="1:4" x14ac:dyDescent="0.35">
      <c r="A37" t="s">
        <v>90</v>
      </c>
      <c r="B37" s="6">
        <v>77.3</v>
      </c>
      <c r="C37" s="6">
        <v>1</v>
      </c>
      <c r="D37" s="6">
        <v>0</v>
      </c>
    </row>
    <row r="38" spans="1:4" x14ac:dyDescent="0.35">
      <c r="A38" t="s">
        <v>84</v>
      </c>
      <c r="B38" s="6">
        <v>62</v>
      </c>
      <c r="C38" s="6">
        <v>0</v>
      </c>
      <c r="D38" s="6">
        <v>1</v>
      </c>
    </row>
    <row r="39" spans="1:4" x14ac:dyDescent="0.35">
      <c r="A39" t="s">
        <v>81</v>
      </c>
      <c r="B39" s="6">
        <v>61</v>
      </c>
      <c r="C39" s="6">
        <v>0</v>
      </c>
      <c r="D39" s="6">
        <v>1</v>
      </c>
    </row>
    <row r="40" spans="1:4" x14ac:dyDescent="0.35">
      <c r="A40" t="s">
        <v>81</v>
      </c>
      <c r="B40" s="6">
        <v>61</v>
      </c>
      <c r="C40" s="6">
        <v>0</v>
      </c>
      <c r="D40" s="6">
        <v>1</v>
      </c>
    </row>
    <row r="41" spans="1:4" x14ac:dyDescent="0.35">
      <c r="A41" t="s">
        <v>81</v>
      </c>
      <c r="B41" s="6">
        <v>61</v>
      </c>
      <c r="C41" s="6">
        <v>0</v>
      </c>
      <c r="D41" s="6">
        <v>1</v>
      </c>
    </row>
    <row r="42" spans="1:4" x14ac:dyDescent="0.35">
      <c r="A42" t="s">
        <v>91</v>
      </c>
      <c r="B42" s="6">
        <v>76</v>
      </c>
      <c r="C42" s="6">
        <v>1</v>
      </c>
      <c r="D42" s="6">
        <v>0</v>
      </c>
    </row>
    <row r="43" spans="1:4" x14ac:dyDescent="0.35">
      <c r="A43" t="s">
        <v>84</v>
      </c>
      <c r="B43" s="6">
        <v>62</v>
      </c>
      <c r="C43" s="6">
        <v>0</v>
      </c>
      <c r="D43" s="6">
        <v>1</v>
      </c>
    </row>
    <row r="44" spans="1:4" x14ac:dyDescent="0.35">
      <c r="A44" t="s">
        <v>84</v>
      </c>
      <c r="B44" s="6">
        <v>62</v>
      </c>
      <c r="C44" s="6">
        <v>0</v>
      </c>
      <c r="D44" s="6">
        <v>1</v>
      </c>
    </row>
    <row r="45" spans="1:4" x14ac:dyDescent="0.35">
      <c r="A45" t="s">
        <v>84</v>
      </c>
      <c r="B45" s="6">
        <v>62</v>
      </c>
      <c r="C45" s="6">
        <v>0</v>
      </c>
      <c r="D45" s="6">
        <v>1</v>
      </c>
    </row>
    <row r="46" spans="1:4" x14ac:dyDescent="0.35">
      <c r="A46" t="s">
        <v>84</v>
      </c>
      <c r="B46" s="6">
        <v>62</v>
      </c>
      <c r="C46" s="6">
        <v>0</v>
      </c>
      <c r="D46" s="6">
        <v>1</v>
      </c>
    </row>
    <row r="47" spans="1:4" x14ac:dyDescent="0.35">
      <c r="A47" t="s">
        <v>84</v>
      </c>
      <c r="B47" s="6">
        <v>62</v>
      </c>
      <c r="C47" s="6">
        <v>0</v>
      </c>
      <c r="D47" s="6">
        <v>1</v>
      </c>
    </row>
    <row r="48" spans="1:4" x14ac:dyDescent="0.35">
      <c r="A48" t="s">
        <v>84</v>
      </c>
      <c r="B48" s="6">
        <v>62</v>
      </c>
      <c r="C48" s="6">
        <v>0</v>
      </c>
      <c r="D48" s="6">
        <v>1</v>
      </c>
    </row>
    <row r="49" spans="1:4" x14ac:dyDescent="0.35">
      <c r="A49" t="s">
        <v>84</v>
      </c>
      <c r="B49" s="6">
        <v>62</v>
      </c>
      <c r="C49" s="6">
        <v>0</v>
      </c>
      <c r="D49" s="6">
        <v>1</v>
      </c>
    </row>
    <row r="50" spans="1:4" x14ac:dyDescent="0.35">
      <c r="A50" t="s">
        <v>88</v>
      </c>
      <c r="B50" s="6">
        <v>37</v>
      </c>
      <c r="C50" s="6">
        <v>0</v>
      </c>
      <c r="D50" s="6">
        <v>1</v>
      </c>
    </row>
    <row r="51" spans="1:4" x14ac:dyDescent="0.35">
      <c r="A51" t="s">
        <v>88</v>
      </c>
      <c r="B51" s="6">
        <v>37</v>
      </c>
      <c r="C51" s="6">
        <v>0</v>
      </c>
      <c r="D51" s="6">
        <v>1</v>
      </c>
    </row>
    <row r="52" spans="1:4" x14ac:dyDescent="0.35">
      <c r="A52" t="s">
        <v>464</v>
      </c>
      <c r="B52" s="6">
        <v>42.5</v>
      </c>
      <c r="C52" s="6">
        <v>0</v>
      </c>
      <c r="D52" s="6">
        <v>1</v>
      </c>
    </row>
    <row r="53" spans="1:4" x14ac:dyDescent="0.35">
      <c r="A53" t="s">
        <v>464</v>
      </c>
      <c r="B53" s="6">
        <v>42.5</v>
      </c>
      <c r="C53" s="6">
        <v>0</v>
      </c>
      <c r="D53" s="6">
        <v>1</v>
      </c>
    </row>
    <row r="54" spans="1:4" x14ac:dyDescent="0.35">
      <c r="A54" t="s">
        <v>89</v>
      </c>
      <c r="B54" s="6">
        <v>72.5</v>
      </c>
      <c r="C54" s="6">
        <v>1</v>
      </c>
      <c r="D54" s="6">
        <v>0</v>
      </c>
    </row>
    <row r="55" spans="1:4" x14ac:dyDescent="0.35">
      <c r="A55" t="s">
        <v>89</v>
      </c>
      <c r="B55" s="6">
        <v>72.5</v>
      </c>
      <c r="C55" s="6">
        <v>1</v>
      </c>
      <c r="D55" s="6">
        <v>0</v>
      </c>
    </row>
    <row r="56" spans="1:4" x14ac:dyDescent="0.35">
      <c r="A56" t="s">
        <v>84</v>
      </c>
      <c r="B56" s="6">
        <v>62</v>
      </c>
      <c r="C56" s="6">
        <v>0</v>
      </c>
      <c r="D56" s="6">
        <v>1</v>
      </c>
    </row>
    <row r="57" spans="1:4" x14ac:dyDescent="0.35">
      <c r="A57" t="s">
        <v>92</v>
      </c>
      <c r="B57" s="6">
        <v>71</v>
      </c>
      <c r="C57" s="6">
        <v>1</v>
      </c>
      <c r="D57" s="6">
        <v>0</v>
      </c>
    </row>
    <row r="58" spans="1:4" x14ac:dyDescent="0.35">
      <c r="A58" t="s">
        <v>84</v>
      </c>
      <c r="B58" s="6">
        <v>62</v>
      </c>
      <c r="C58" s="6">
        <v>0</v>
      </c>
      <c r="D58" s="6">
        <v>1</v>
      </c>
    </row>
    <row r="59" spans="1:4" x14ac:dyDescent="0.35">
      <c r="A59" t="s">
        <v>84</v>
      </c>
      <c r="B59" s="6">
        <v>62</v>
      </c>
      <c r="C59" s="6">
        <v>0</v>
      </c>
      <c r="D59" s="6">
        <v>1</v>
      </c>
    </row>
    <row r="60" spans="1:4" x14ac:dyDescent="0.35">
      <c r="A60" t="s">
        <v>84</v>
      </c>
      <c r="B60" s="6">
        <v>62</v>
      </c>
      <c r="C60" s="6">
        <v>0</v>
      </c>
      <c r="D60" s="6">
        <v>1</v>
      </c>
    </row>
    <row r="61" spans="1:4" x14ac:dyDescent="0.35">
      <c r="A61" t="s">
        <v>343</v>
      </c>
      <c r="B61" s="6">
        <v>63.93</v>
      </c>
      <c r="C61" s="6">
        <v>0.53120000000000001</v>
      </c>
      <c r="D61" s="6">
        <f>100%-C61</f>
        <v>0.46879999999999999</v>
      </c>
    </row>
    <row r="62" spans="1:4" x14ac:dyDescent="0.35">
      <c r="A62" t="s">
        <v>81</v>
      </c>
      <c r="B62" s="6">
        <v>61</v>
      </c>
      <c r="C62" s="6">
        <v>0</v>
      </c>
      <c r="D62" s="6">
        <v>1</v>
      </c>
    </row>
    <row r="63" spans="1:4" x14ac:dyDescent="0.35">
      <c r="A63" t="s">
        <v>81</v>
      </c>
      <c r="B63" s="6">
        <v>61</v>
      </c>
      <c r="C63" s="6">
        <v>0</v>
      </c>
      <c r="D63" s="6">
        <v>1</v>
      </c>
    </row>
    <row r="64" spans="1:4" x14ac:dyDescent="0.35">
      <c r="A64" t="s">
        <v>81</v>
      </c>
      <c r="B64" s="6">
        <v>61</v>
      </c>
      <c r="C64" s="6">
        <v>0</v>
      </c>
      <c r="D64" s="6">
        <v>1</v>
      </c>
    </row>
    <row r="65" spans="1:4" x14ac:dyDescent="0.35">
      <c r="A65" t="s">
        <v>81</v>
      </c>
      <c r="B65" s="6">
        <v>61</v>
      </c>
      <c r="C65" s="6">
        <v>0</v>
      </c>
      <c r="D65" s="6">
        <v>1</v>
      </c>
    </row>
    <row r="66" spans="1:4" x14ac:dyDescent="0.35">
      <c r="A66" t="s">
        <v>81</v>
      </c>
      <c r="B66" s="6">
        <v>61</v>
      </c>
      <c r="C66" s="6">
        <v>0</v>
      </c>
      <c r="D66" s="6">
        <v>1</v>
      </c>
    </row>
    <row r="67" spans="1:4" x14ac:dyDescent="0.35">
      <c r="A67" t="s">
        <v>81</v>
      </c>
      <c r="B67" s="6">
        <v>61</v>
      </c>
      <c r="C67" s="6">
        <v>0</v>
      </c>
      <c r="D67" s="6">
        <v>1</v>
      </c>
    </row>
    <row r="68" spans="1:4" x14ac:dyDescent="0.35">
      <c r="A68" t="s">
        <v>84</v>
      </c>
      <c r="B68" s="6">
        <v>62</v>
      </c>
      <c r="C68" s="6">
        <v>0</v>
      </c>
      <c r="D68" s="6">
        <v>1</v>
      </c>
    </row>
    <row r="69" spans="1:4" x14ac:dyDescent="0.35">
      <c r="A69" t="s">
        <v>84</v>
      </c>
      <c r="B69" s="6">
        <v>62</v>
      </c>
      <c r="C69" s="6">
        <v>0</v>
      </c>
      <c r="D69" s="6">
        <v>1</v>
      </c>
    </row>
    <row r="70" spans="1:4" x14ac:dyDescent="0.35">
      <c r="A70" t="s">
        <v>84</v>
      </c>
      <c r="B70" s="6">
        <v>62</v>
      </c>
      <c r="C70" s="6">
        <v>0</v>
      </c>
      <c r="D70" s="6">
        <v>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D992BF-790F-428D-A49C-F8714EC89844}">
  <dimension ref="A1:H79"/>
  <sheetViews>
    <sheetView workbookViewId="0">
      <selection activeCell="B70" sqref="B70"/>
    </sheetView>
  </sheetViews>
  <sheetFormatPr defaultColWidth="9.1796875" defaultRowHeight="14.5" x14ac:dyDescent="0.35"/>
  <cols>
    <col min="1" max="1" width="19.1796875" bestFit="1" customWidth="1"/>
    <col min="2" max="2" width="8.7265625" style="3"/>
    <col min="3" max="3" width="11.81640625" style="3" bestFit="1" customWidth="1"/>
    <col min="4" max="5" width="8.7265625" style="3"/>
  </cols>
  <sheetData>
    <row r="1" spans="1:8" x14ac:dyDescent="0.35">
      <c r="A1" t="s">
        <v>320</v>
      </c>
      <c r="B1" s="3" t="s">
        <v>398</v>
      </c>
      <c r="C1" s="3" t="s">
        <v>399</v>
      </c>
      <c r="D1" s="3" t="s">
        <v>400</v>
      </c>
      <c r="E1" s="3" t="s">
        <v>401</v>
      </c>
    </row>
    <row r="2" spans="1:8" x14ac:dyDescent="0.35">
      <c r="A2" t="s">
        <v>449</v>
      </c>
      <c r="B2" s="3">
        <v>32</v>
      </c>
      <c r="C2" s="3">
        <v>0</v>
      </c>
      <c r="D2" s="3">
        <v>0</v>
      </c>
      <c r="E2" s="3">
        <v>1</v>
      </c>
    </row>
    <row r="3" spans="1:8" x14ac:dyDescent="0.35">
      <c r="A3" t="s">
        <v>431</v>
      </c>
      <c r="B3" s="3">
        <v>45</v>
      </c>
      <c r="C3" s="3">
        <v>0</v>
      </c>
      <c r="D3" s="3">
        <v>1</v>
      </c>
      <c r="E3" s="3">
        <v>0</v>
      </c>
    </row>
    <row r="4" spans="1:8" x14ac:dyDescent="0.35">
      <c r="A4" t="s">
        <v>388</v>
      </c>
      <c r="B4" s="3">
        <v>72</v>
      </c>
      <c r="C4" s="3">
        <v>1</v>
      </c>
      <c r="D4" s="3">
        <v>0</v>
      </c>
      <c r="E4" s="3">
        <v>0</v>
      </c>
      <c r="H4">
        <f>AVERAGE(0, 0, 1, 1, 0, 0, 0, 1, 0, 0, 0, 0, 1, 0, 0, 0, 0, 0, 1, 0, 0, 0, 0, 1, 1, 1, 0, 0, 0, 0, 0,
                     1, 0, 1, 0, 0, 0, 0, 1, 0, 0, 0, 0, 1, 1, 0, 1, 0, 0, 0, 0, 0, 0, 0, 0, 0, 1, 0, 0, 0, 1, 0, 1,
                     0, 0, 0, 0, 0, 0, 0, 1, 1, 1, 0, 0, 0, 1)</f>
        <v>0.27272727272727271</v>
      </c>
    </row>
    <row r="5" spans="1:8" x14ac:dyDescent="0.35">
      <c r="A5" t="s">
        <v>397</v>
      </c>
      <c r="B5" s="3">
        <v>66</v>
      </c>
      <c r="C5" s="3">
        <v>1</v>
      </c>
      <c r="D5" s="3">
        <v>0</v>
      </c>
      <c r="E5" s="3">
        <v>0</v>
      </c>
    </row>
    <row r="6" spans="1:8" x14ac:dyDescent="0.35">
      <c r="A6" t="s">
        <v>416</v>
      </c>
      <c r="B6" s="3">
        <v>51</v>
      </c>
      <c r="C6" s="3">
        <v>0</v>
      </c>
      <c r="D6" s="3">
        <v>1</v>
      </c>
      <c r="E6" s="3">
        <v>0</v>
      </c>
      <c r="H6">
        <f>AVERAGE(32, 45, 72, 66, 51, 30, 46, 66, 32, 31, 47, 52, 70, 54, 62, 42, 51, 57, 77, 38, 36, 61, 23, 76, 70,
              70, 30, 52, 54, 37, 39, 69, 60, 75, 35, 47, 31, 46, 70, 53, 43, 38, 28, 75, 72, 27, 73, 48, 28, 37,
              38, 51, 61, 50, 50, 53, 45, 81, 54, 56, 41, 71, 61, 80, 25, 46, 46, 26, 43, 62, 75, 87, 50, 35, 41, 81)</f>
        <v>51.75</v>
      </c>
    </row>
    <row r="7" spans="1:8" x14ac:dyDescent="0.35">
      <c r="A7" t="s">
        <v>453</v>
      </c>
      <c r="B7" s="3">
        <v>30</v>
      </c>
      <c r="C7" s="3">
        <v>0</v>
      </c>
      <c r="D7" s="3">
        <v>0</v>
      </c>
      <c r="E7" s="3">
        <v>1</v>
      </c>
    </row>
    <row r="8" spans="1:8" x14ac:dyDescent="0.35">
      <c r="A8" t="s">
        <v>428</v>
      </c>
      <c r="B8" s="3">
        <v>46</v>
      </c>
      <c r="C8" s="3">
        <v>0</v>
      </c>
      <c r="D8" s="3">
        <v>1</v>
      </c>
      <c r="E8" s="3">
        <v>0</v>
      </c>
    </row>
    <row r="9" spans="1:8" x14ac:dyDescent="0.35">
      <c r="A9" t="s">
        <v>396</v>
      </c>
      <c r="B9" s="3">
        <v>66</v>
      </c>
      <c r="C9" s="3">
        <v>1</v>
      </c>
      <c r="D9" s="3">
        <v>0</v>
      </c>
      <c r="E9" s="3">
        <v>0</v>
      </c>
    </row>
    <row r="10" spans="1:8" x14ac:dyDescent="0.35">
      <c r="A10" t="s">
        <v>448</v>
      </c>
      <c r="B10" s="3">
        <v>32</v>
      </c>
      <c r="C10" s="3">
        <v>0</v>
      </c>
      <c r="D10" s="3">
        <v>0</v>
      </c>
      <c r="E10" s="3">
        <v>1</v>
      </c>
    </row>
    <row r="11" spans="1:8" x14ac:dyDescent="0.35">
      <c r="A11" t="s">
        <v>451</v>
      </c>
      <c r="B11" s="3">
        <v>31</v>
      </c>
      <c r="C11" s="3">
        <v>0</v>
      </c>
      <c r="D11" s="3">
        <v>0</v>
      </c>
      <c r="E11" s="3">
        <v>1</v>
      </c>
    </row>
    <row r="12" spans="1:8" x14ac:dyDescent="0.35">
      <c r="A12" t="s">
        <v>425</v>
      </c>
      <c r="B12" s="3">
        <v>47</v>
      </c>
      <c r="C12" s="3">
        <v>0</v>
      </c>
      <c r="D12" s="3">
        <v>1</v>
      </c>
      <c r="E12" s="3">
        <v>0</v>
      </c>
    </row>
    <row r="13" spans="1:8" x14ac:dyDescent="0.35">
      <c r="A13" t="s">
        <v>415</v>
      </c>
      <c r="B13" s="3">
        <v>52</v>
      </c>
      <c r="C13" s="3">
        <v>0</v>
      </c>
      <c r="D13" s="3">
        <v>1</v>
      </c>
      <c r="E13" s="3">
        <v>0</v>
      </c>
    </row>
    <row r="14" spans="1:8" x14ac:dyDescent="0.35">
      <c r="A14" t="s">
        <v>394</v>
      </c>
      <c r="B14" s="3">
        <v>70</v>
      </c>
      <c r="C14" s="3">
        <v>1</v>
      </c>
      <c r="D14" s="3">
        <v>0</v>
      </c>
      <c r="E14" s="3">
        <v>0</v>
      </c>
    </row>
    <row r="15" spans="1:8" x14ac:dyDescent="0.35">
      <c r="A15" t="s">
        <v>409</v>
      </c>
      <c r="B15" s="3">
        <v>54</v>
      </c>
      <c r="C15" s="3">
        <v>0</v>
      </c>
      <c r="D15" s="3">
        <v>1</v>
      </c>
      <c r="E15" s="3">
        <v>0</v>
      </c>
    </row>
    <row r="16" spans="1:8" x14ac:dyDescent="0.35">
      <c r="A16" t="s">
        <v>420</v>
      </c>
      <c r="B16" s="3">
        <v>62</v>
      </c>
      <c r="C16" s="3">
        <v>0</v>
      </c>
      <c r="D16" s="3">
        <v>1</v>
      </c>
      <c r="E16" s="3">
        <v>0</v>
      </c>
    </row>
    <row r="17" spans="1:5" x14ac:dyDescent="0.35">
      <c r="A17" t="s">
        <v>435</v>
      </c>
      <c r="B17" s="3">
        <v>42</v>
      </c>
      <c r="C17" s="3">
        <v>0</v>
      </c>
      <c r="D17" s="3">
        <v>1</v>
      </c>
      <c r="E17" s="3">
        <v>0</v>
      </c>
    </row>
    <row r="18" spans="1:5" x14ac:dyDescent="0.35">
      <c r="A18" t="s">
        <v>417</v>
      </c>
      <c r="B18" s="3">
        <v>51</v>
      </c>
      <c r="C18" s="3">
        <v>0</v>
      </c>
      <c r="D18" s="3">
        <v>1</v>
      </c>
      <c r="E18" s="3">
        <v>0</v>
      </c>
    </row>
    <row r="19" spans="1:5" x14ac:dyDescent="0.35">
      <c r="A19" t="s">
        <v>407</v>
      </c>
      <c r="B19" s="3">
        <v>57</v>
      </c>
      <c r="C19" s="3">
        <v>0</v>
      </c>
      <c r="D19" s="3">
        <v>1</v>
      </c>
      <c r="E19" s="3">
        <v>0</v>
      </c>
    </row>
    <row r="20" spans="1:5" x14ac:dyDescent="0.35">
      <c r="A20" t="s">
        <v>382</v>
      </c>
      <c r="B20" s="3">
        <v>77</v>
      </c>
      <c r="C20" s="3">
        <v>1</v>
      </c>
      <c r="D20" s="3">
        <v>0</v>
      </c>
      <c r="E20" s="3">
        <v>0</v>
      </c>
    </row>
    <row r="21" spans="1:5" x14ac:dyDescent="0.35">
      <c r="A21" t="s">
        <v>441</v>
      </c>
      <c r="B21" s="3">
        <v>38</v>
      </c>
      <c r="C21" s="3">
        <v>0</v>
      </c>
      <c r="D21" s="3">
        <v>0</v>
      </c>
      <c r="E21" s="3">
        <v>1</v>
      </c>
    </row>
    <row r="22" spans="1:5" x14ac:dyDescent="0.35">
      <c r="A22" t="s">
        <v>444</v>
      </c>
      <c r="B22" s="3">
        <v>36</v>
      </c>
      <c r="C22" s="3">
        <v>0</v>
      </c>
      <c r="D22" s="3">
        <v>0</v>
      </c>
      <c r="E22" s="3">
        <v>1</v>
      </c>
    </row>
    <row r="23" spans="1:5" x14ac:dyDescent="0.35">
      <c r="A23" t="s">
        <v>403</v>
      </c>
      <c r="B23" s="3">
        <v>61</v>
      </c>
      <c r="C23" s="3">
        <v>0</v>
      </c>
      <c r="D23" s="3">
        <v>1</v>
      </c>
      <c r="E23" s="3">
        <v>0</v>
      </c>
    </row>
    <row r="24" spans="1:5" x14ac:dyDescent="0.35">
      <c r="A24" t="s">
        <v>459</v>
      </c>
      <c r="B24" s="3">
        <v>23</v>
      </c>
      <c r="C24" s="3">
        <v>0</v>
      </c>
      <c r="D24" s="3">
        <v>0</v>
      </c>
      <c r="E24" s="3">
        <v>1</v>
      </c>
    </row>
    <row r="25" spans="1:5" x14ac:dyDescent="0.35">
      <c r="A25" t="s">
        <v>383</v>
      </c>
      <c r="B25" s="3">
        <v>76</v>
      </c>
      <c r="C25" s="3">
        <v>1</v>
      </c>
      <c r="D25" s="3">
        <v>0</v>
      </c>
      <c r="E25" s="3">
        <v>0</v>
      </c>
    </row>
    <row r="26" spans="1:5" x14ac:dyDescent="0.35">
      <c r="A26" t="s">
        <v>393</v>
      </c>
      <c r="B26" s="3">
        <v>70</v>
      </c>
      <c r="C26" s="3">
        <v>1</v>
      </c>
      <c r="D26" s="3">
        <v>0</v>
      </c>
      <c r="E26" s="3">
        <v>0</v>
      </c>
    </row>
    <row r="27" spans="1:5" x14ac:dyDescent="0.35">
      <c r="A27" t="s">
        <v>392</v>
      </c>
      <c r="B27" s="3">
        <v>70</v>
      </c>
      <c r="C27" s="3">
        <v>1</v>
      </c>
      <c r="D27" s="3">
        <v>0</v>
      </c>
      <c r="E27" s="3">
        <v>0</v>
      </c>
    </row>
    <row r="28" spans="1:5" x14ac:dyDescent="0.35">
      <c r="A28" t="s">
        <v>452</v>
      </c>
      <c r="B28" s="3">
        <v>30</v>
      </c>
      <c r="C28" s="3">
        <v>0</v>
      </c>
      <c r="D28" s="3">
        <v>0</v>
      </c>
      <c r="E28" s="3">
        <v>1</v>
      </c>
    </row>
    <row r="29" spans="1:5" x14ac:dyDescent="0.35">
      <c r="A29" t="s">
        <v>414</v>
      </c>
      <c r="B29" s="3">
        <v>52</v>
      </c>
      <c r="C29" s="3">
        <v>0</v>
      </c>
      <c r="D29" s="3">
        <v>1</v>
      </c>
      <c r="E29" s="3">
        <v>0</v>
      </c>
    </row>
    <row r="30" spans="1:5" x14ac:dyDescent="0.35">
      <c r="A30" t="s">
        <v>410</v>
      </c>
      <c r="B30" s="3">
        <v>54</v>
      </c>
      <c r="C30" s="3">
        <v>0</v>
      </c>
      <c r="D30" s="3">
        <v>1</v>
      </c>
      <c r="E30" s="3">
        <v>0</v>
      </c>
    </row>
    <row r="31" spans="1:5" x14ac:dyDescent="0.35">
      <c r="A31" t="s">
        <v>443</v>
      </c>
      <c r="B31" s="3">
        <v>37</v>
      </c>
      <c r="C31" s="3">
        <v>0</v>
      </c>
      <c r="D31" s="3">
        <v>0</v>
      </c>
      <c r="E31" s="3">
        <v>1</v>
      </c>
    </row>
    <row r="32" spans="1:5" x14ac:dyDescent="0.35">
      <c r="A32" t="s">
        <v>438</v>
      </c>
      <c r="B32" s="3">
        <v>39</v>
      </c>
      <c r="C32" s="3">
        <v>0</v>
      </c>
      <c r="D32" s="3">
        <v>0</v>
      </c>
      <c r="E32" s="3">
        <v>1</v>
      </c>
    </row>
    <row r="33" spans="1:5" x14ac:dyDescent="0.35">
      <c r="A33" t="s">
        <v>395</v>
      </c>
      <c r="B33" s="3">
        <v>69</v>
      </c>
      <c r="C33" s="3">
        <v>1</v>
      </c>
      <c r="D33" s="3">
        <v>0</v>
      </c>
      <c r="E33" s="3">
        <v>0</v>
      </c>
    </row>
    <row r="34" spans="1:5" x14ac:dyDescent="0.35">
      <c r="A34" t="s">
        <v>405</v>
      </c>
      <c r="B34" s="3">
        <v>60</v>
      </c>
      <c r="C34" s="3">
        <v>0</v>
      </c>
      <c r="D34" s="3">
        <v>1</v>
      </c>
      <c r="E34" s="3">
        <v>0</v>
      </c>
    </row>
    <row r="35" spans="1:5" x14ac:dyDescent="0.35">
      <c r="A35" t="s">
        <v>386</v>
      </c>
      <c r="B35" s="3">
        <v>75</v>
      </c>
      <c r="C35" s="3">
        <v>1</v>
      </c>
      <c r="D35" s="3">
        <v>0</v>
      </c>
      <c r="E35" s="3">
        <v>0</v>
      </c>
    </row>
    <row r="36" spans="1:5" x14ac:dyDescent="0.35">
      <c r="A36" t="s">
        <v>446</v>
      </c>
      <c r="B36" s="3">
        <v>35</v>
      </c>
      <c r="C36" s="3">
        <v>0</v>
      </c>
      <c r="D36" s="3">
        <v>0</v>
      </c>
      <c r="E36" s="3">
        <v>1</v>
      </c>
    </row>
    <row r="37" spans="1:5" x14ac:dyDescent="0.35">
      <c r="A37" t="s">
        <v>426</v>
      </c>
      <c r="B37" s="3">
        <v>47</v>
      </c>
      <c r="C37" s="3">
        <v>0</v>
      </c>
      <c r="D37" s="3">
        <v>1</v>
      </c>
      <c r="E37" s="3">
        <v>0</v>
      </c>
    </row>
    <row r="38" spans="1:5" x14ac:dyDescent="0.35">
      <c r="A38" t="s">
        <v>450</v>
      </c>
      <c r="B38" s="3">
        <v>31</v>
      </c>
      <c r="C38" s="3">
        <v>0</v>
      </c>
      <c r="D38" s="3">
        <v>0</v>
      </c>
      <c r="E38" s="3">
        <v>1</v>
      </c>
    </row>
    <row r="39" spans="1:5" x14ac:dyDescent="0.35">
      <c r="A39" t="s">
        <v>429</v>
      </c>
      <c r="B39" s="3">
        <v>46</v>
      </c>
      <c r="C39" s="3">
        <v>0</v>
      </c>
      <c r="D39" s="3">
        <v>1</v>
      </c>
      <c r="E39" s="3">
        <v>0</v>
      </c>
    </row>
    <row r="40" spans="1:5" x14ac:dyDescent="0.35">
      <c r="A40" t="s">
        <v>447</v>
      </c>
      <c r="B40" s="3">
        <v>32</v>
      </c>
      <c r="C40" s="3">
        <v>0</v>
      </c>
      <c r="D40" s="3">
        <v>0</v>
      </c>
      <c r="E40" s="3">
        <v>1</v>
      </c>
    </row>
    <row r="41" spans="1:5" x14ac:dyDescent="0.35">
      <c r="A41" t="s">
        <v>406</v>
      </c>
      <c r="B41" s="3">
        <v>58</v>
      </c>
      <c r="C41" s="3">
        <v>0</v>
      </c>
      <c r="D41" s="3">
        <v>1</v>
      </c>
      <c r="E41" s="3">
        <v>0</v>
      </c>
    </row>
    <row r="42" spans="1:5" x14ac:dyDescent="0.35">
      <c r="A42" t="s">
        <v>391</v>
      </c>
      <c r="B42" s="3">
        <v>70</v>
      </c>
      <c r="C42" s="3">
        <v>1</v>
      </c>
      <c r="D42" s="3">
        <v>0</v>
      </c>
      <c r="E42" s="3">
        <v>0</v>
      </c>
    </row>
    <row r="43" spans="1:5" x14ac:dyDescent="0.35">
      <c r="A43" t="s">
        <v>413</v>
      </c>
      <c r="B43" s="3">
        <v>53</v>
      </c>
      <c r="C43" s="3">
        <v>0</v>
      </c>
      <c r="D43" s="3">
        <v>1</v>
      </c>
      <c r="E43" s="3">
        <v>0</v>
      </c>
    </row>
    <row r="44" spans="1:5" x14ac:dyDescent="0.35">
      <c r="A44" t="s">
        <v>434</v>
      </c>
      <c r="B44" s="3">
        <v>43</v>
      </c>
      <c r="C44" s="3">
        <v>0</v>
      </c>
      <c r="D44" s="3">
        <v>1</v>
      </c>
      <c r="E44" s="3">
        <v>0</v>
      </c>
    </row>
    <row r="45" spans="1:5" x14ac:dyDescent="0.35">
      <c r="A45" t="s">
        <v>440</v>
      </c>
      <c r="B45" s="3">
        <v>38</v>
      </c>
      <c r="C45" s="3">
        <v>0</v>
      </c>
      <c r="D45" s="3">
        <v>0</v>
      </c>
      <c r="E45" s="3">
        <v>1</v>
      </c>
    </row>
    <row r="46" spans="1:5" x14ac:dyDescent="0.35">
      <c r="A46" t="s">
        <v>454</v>
      </c>
      <c r="B46" s="3">
        <v>28</v>
      </c>
      <c r="C46" s="3">
        <v>0</v>
      </c>
      <c r="D46" s="3">
        <v>0</v>
      </c>
      <c r="E46" s="3">
        <v>1</v>
      </c>
    </row>
    <row r="47" spans="1:5" x14ac:dyDescent="0.35">
      <c r="A47" t="s">
        <v>384</v>
      </c>
      <c r="B47" s="3">
        <v>75</v>
      </c>
      <c r="C47" s="3">
        <v>1</v>
      </c>
      <c r="D47" s="3">
        <v>0</v>
      </c>
      <c r="E47" s="3">
        <v>0</v>
      </c>
    </row>
    <row r="48" spans="1:5" x14ac:dyDescent="0.35">
      <c r="A48" t="s">
        <v>389</v>
      </c>
      <c r="B48" s="3">
        <v>72</v>
      </c>
      <c r="C48" s="3">
        <v>1</v>
      </c>
      <c r="D48" s="3">
        <v>0</v>
      </c>
      <c r="E48" s="3">
        <v>0</v>
      </c>
    </row>
    <row r="49" spans="1:5" x14ac:dyDescent="0.35">
      <c r="A49" t="s">
        <v>456</v>
      </c>
      <c r="B49" s="3">
        <v>27</v>
      </c>
      <c r="C49" s="3">
        <v>0</v>
      </c>
      <c r="D49" s="3">
        <v>0</v>
      </c>
      <c r="E49" s="3">
        <v>1</v>
      </c>
    </row>
    <row r="50" spans="1:5" x14ac:dyDescent="0.35">
      <c r="A50" t="s">
        <v>387</v>
      </c>
      <c r="B50" s="3">
        <v>73</v>
      </c>
      <c r="C50" s="3">
        <v>1</v>
      </c>
      <c r="D50" s="3">
        <v>0</v>
      </c>
      <c r="E50" s="3">
        <v>0</v>
      </c>
    </row>
    <row r="51" spans="1:5" x14ac:dyDescent="0.35">
      <c r="A51" t="s">
        <v>424</v>
      </c>
      <c r="B51" s="3">
        <v>48</v>
      </c>
      <c r="C51" s="3">
        <v>0</v>
      </c>
      <c r="D51" s="3">
        <v>1</v>
      </c>
      <c r="E51" s="3">
        <v>0</v>
      </c>
    </row>
    <row r="52" spans="1:5" x14ac:dyDescent="0.35">
      <c r="A52" t="s">
        <v>455</v>
      </c>
      <c r="B52" s="3">
        <v>28</v>
      </c>
      <c r="C52" s="3">
        <v>0</v>
      </c>
      <c r="D52" s="3">
        <v>0</v>
      </c>
      <c r="E52" s="3">
        <v>1</v>
      </c>
    </row>
    <row r="53" spans="1:5" x14ac:dyDescent="0.35">
      <c r="A53" t="s">
        <v>442</v>
      </c>
      <c r="B53" s="3">
        <v>37</v>
      </c>
      <c r="C53" s="3">
        <v>0</v>
      </c>
      <c r="D53" s="3">
        <v>0</v>
      </c>
      <c r="E53" s="3">
        <v>1</v>
      </c>
    </row>
    <row r="54" spans="1:5" x14ac:dyDescent="0.35">
      <c r="A54" t="s">
        <v>439</v>
      </c>
      <c r="B54" s="3">
        <v>38</v>
      </c>
      <c r="C54" s="3">
        <v>0</v>
      </c>
      <c r="D54" s="3">
        <v>0</v>
      </c>
      <c r="E54" s="3">
        <v>1</v>
      </c>
    </row>
    <row r="55" spans="1:5" x14ac:dyDescent="0.35">
      <c r="A55" t="s">
        <v>418</v>
      </c>
      <c r="B55" s="3">
        <v>51</v>
      </c>
      <c r="C55" s="3">
        <v>0</v>
      </c>
      <c r="D55" s="3">
        <v>1</v>
      </c>
      <c r="E55" s="3">
        <v>0</v>
      </c>
    </row>
    <row r="56" spans="1:5" x14ac:dyDescent="0.35">
      <c r="A56" t="s">
        <v>404</v>
      </c>
      <c r="B56" s="3">
        <v>61</v>
      </c>
      <c r="C56" s="3">
        <v>0</v>
      </c>
      <c r="D56" s="3">
        <v>1</v>
      </c>
      <c r="E56" s="3">
        <v>0</v>
      </c>
    </row>
    <row r="57" spans="1:5" x14ac:dyDescent="0.35">
      <c r="A57" t="s">
        <v>422</v>
      </c>
      <c r="B57" s="3">
        <v>50</v>
      </c>
      <c r="C57" s="3">
        <v>0</v>
      </c>
      <c r="D57" s="3">
        <v>1</v>
      </c>
      <c r="E57" s="3">
        <v>0</v>
      </c>
    </row>
    <row r="58" spans="1:5" x14ac:dyDescent="0.35">
      <c r="A58" t="s">
        <v>423</v>
      </c>
      <c r="B58" s="3">
        <v>50</v>
      </c>
      <c r="C58" s="3">
        <v>0</v>
      </c>
      <c r="D58" s="3">
        <v>1</v>
      </c>
      <c r="E58" s="3">
        <v>0</v>
      </c>
    </row>
    <row r="59" spans="1:5" x14ac:dyDescent="0.35">
      <c r="A59" t="s">
        <v>412</v>
      </c>
      <c r="B59" s="3">
        <v>53</v>
      </c>
      <c r="C59" s="3">
        <v>0</v>
      </c>
      <c r="D59" s="3">
        <v>1</v>
      </c>
      <c r="E59" s="3">
        <v>0</v>
      </c>
    </row>
    <row r="60" spans="1:5" x14ac:dyDescent="0.35">
      <c r="A60" t="s">
        <v>432</v>
      </c>
      <c r="B60" s="3">
        <v>45</v>
      </c>
      <c r="C60" s="3">
        <v>0</v>
      </c>
      <c r="D60" s="3">
        <v>1</v>
      </c>
      <c r="E60" s="3">
        <v>0</v>
      </c>
    </row>
    <row r="61" spans="1:5" x14ac:dyDescent="0.35">
      <c r="A61" t="s">
        <v>380</v>
      </c>
      <c r="B61" s="3">
        <v>81</v>
      </c>
      <c r="C61" s="3">
        <v>1</v>
      </c>
      <c r="D61" s="3">
        <v>0</v>
      </c>
      <c r="E61" s="3">
        <v>0</v>
      </c>
    </row>
    <row r="62" spans="1:5" x14ac:dyDescent="0.35">
      <c r="A62" t="s">
        <v>411</v>
      </c>
      <c r="B62" s="3">
        <v>54</v>
      </c>
      <c r="C62" s="3">
        <v>0</v>
      </c>
      <c r="D62" s="3">
        <v>1</v>
      </c>
      <c r="E62" s="3">
        <v>0</v>
      </c>
    </row>
    <row r="63" spans="1:5" x14ac:dyDescent="0.35">
      <c r="A63" t="s">
        <v>408</v>
      </c>
      <c r="B63" s="3">
        <v>56</v>
      </c>
      <c r="C63" s="3">
        <v>0</v>
      </c>
      <c r="D63" s="3">
        <v>1</v>
      </c>
      <c r="E63" s="3">
        <v>0</v>
      </c>
    </row>
    <row r="64" spans="1:5" x14ac:dyDescent="0.35">
      <c r="A64" t="s">
        <v>437</v>
      </c>
      <c r="B64" s="3">
        <v>41</v>
      </c>
      <c r="C64" s="3">
        <v>0</v>
      </c>
      <c r="D64" s="3">
        <v>1</v>
      </c>
      <c r="E64" s="3">
        <v>0</v>
      </c>
    </row>
    <row r="65" spans="1:5" x14ac:dyDescent="0.35">
      <c r="A65" t="s">
        <v>390</v>
      </c>
      <c r="B65" s="3">
        <v>71</v>
      </c>
      <c r="C65" s="3">
        <v>1</v>
      </c>
      <c r="D65" s="3">
        <v>0</v>
      </c>
      <c r="E65" s="3">
        <v>0</v>
      </c>
    </row>
    <row r="66" spans="1:5" x14ac:dyDescent="0.35">
      <c r="A66" t="s">
        <v>402</v>
      </c>
      <c r="B66" s="3">
        <v>61</v>
      </c>
      <c r="C66" s="3">
        <v>0</v>
      </c>
      <c r="D66" s="3">
        <v>1</v>
      </c>
      <c r="E66" s="3">
        <v>0</v>
      </c>
    </row>
    <row r="67" spans="1:5" x14ac:dyDescent="0.35">
      <c r="A67" t="s">
        <v>381</v>
      </c>
      <c r="B67" s="3">
        <v>80</v>
      </c>
      <c r="C67" s="3">
        <v>1</v>
      </c>
      <c r="D67" s="3">
        <v>0</v>
      </c>
      <c r="E67" s="3">
        <v>0</v>
      </c>
    </row>
    <row r="68" spans="1:5" x14ac:dyDescent="0.35">
      <c r="A68" t="s">
        <v>458</v>
      </c>
      <c r="B68" s="3">
        <v>25</v>
      </c>
      <c r="C68" s="3">
        <v>0</v>
      </c>
      <c r="D68" s="3">
        <v>0</v>
      </c>
      <c r="E68" s="3">
        <v>1</v>
      </c>
    </row>
    <row r="69" spans="1:5" x14ac:dyDescent="0.35">
      <c r="A69" t="s">
        <v>427</v>
      </c>
      <c r="B69" s="3">
        <v>46</v>
      </c>
      <c r="C69" s="3">
        <v>0</v>
      </c>
      <c r="D69" s="3">
        <v>1</v>
      </c>
      <c r="E69" s="3">
        <v>0</v>
      </c>
    </row>
    <row r="70" spans="1:5" x14ac:dyDescent="0.35">
      <c r="A70" t="s">
        <v>430</v>
      </c>
      <c r="B70" s="3">
        <v>46</v>
      </c>
      <c r="C70" s="3">
        <v>0</v>
      </c>
      <c r="D70" s="3">
        <v>1</v>
      </c>
      <c r="E70" s="3">
        <v>0</v>
      </c>
    </row>
    <row r="71" spans="1:5" x14ac:dyDescent="0.35">
      <c r="A71" t="s">
        <v>457</v>
      </c>
      <c r="B71" s="3">
        <v>26</v>
      </c>
      <c r="C71" s="3">
        <v>0</v>
      </c>
      <c r="D71" s="3">
        <v>0</v>
      </c>
      <c r="E71" s="3">
        <v>1</v>
      </c>
    </row>
    <row r="72" spans="1:5" x14ac:dyDescent="0.35">
      <c r="A72" t="s">
        <v>433</v>
      </c>
      <c r="B72" s="3">
        <v>43</v>
      </c>
      <c r="C72" s="3">
        <v>0</v>
      </c>
      <c r="D72" s="3">
        <v>1</v>
      </c>
      <c r="E72" s="3">
        <v>0</v>
      </c>
    </row>
    <row r="73" spans="1:5" x14ac:dyDescent="0.35">
      <c r="A73" t="s">
        <v>419</v>
      </c>
      <c r="B73" s="3">
        <v>62</v>
      </c>
      <c r="C73" s="3">
        <v>0</v>
      </c>
      <c r="D73" s="3">
        <v>1</v>
      </c>
      <c r="E73" s="3">
        <v>0</v>
      </c>
    </row>
    <row r="74" spans="1:5" x14ac:dyDescent="0.35">
      <c r="A74" t="s">
        <v>385</v>
      </c>
      <c r="B74" s="3">
        <v>75</v>
      </c>
      <c r="C74" s="3">
        <v>1</v>
      </c>
      <c r="D74" s="3">
        <v>0</v>
      </c>
      <c r="E74" s="3">
        <v>0</v>
      </c>
    </row>
    <row r="75" spans="1:5" x14ac:dyDescent="0.35">
      <c r="A75" t="s">
        <v>379</v>
      </c>
      <c r="B75" s="3">
        <v>87</v>
      </c>
      <c r="C75" s="3">
        <v>1</v>
      </c>
      <c r="D75" s="3">
        <v>0</v>
      </c>
      <c r="E75" s="3">
        <v>0</v>
      </c>
    </row>
    <row r="76" spans="1:5" x14ac:dyDescent="0.35">
      <c r="A76" t="s">
        <v>421</v>
      </c>
      <c r="B76" s="3">
        <v>50</v>
      </c>
      <c r="C76" s="3">
        <v>0</v>
      </c>
      <c r="D76" s="3">
        <v>1</v>
      </c>
      <c r="E76" s="3">
        <v>0</v>
      </c>
    </row>
    <row r="77" spans="1:5" x14ac:dyDescent="0.35">
      <c r="A77" t="s">
        <v>445</v>
      </c>
      <c r="B77" s="3">
        <v>35</v>
      </c>
      <c r="C77" s="3">
        <v>0</v>
      </c>
      <c r="D77" s="3">
        <v>0</v>
      </c>
      <c r="E77" s="3">
        <v>1</v>
      </c>
    </row>
    <row r="78" spans="1:5" x14ac:dyDescent="0.35">
      <c r="A78" t="s">
        <v>436</v>
      </c>
      <c r="B78" s="3">
        <v>41</v>
      </c>
      <c r="C78" s="3">
        <v>0</v>
      </c>
      <c r="D78" s="3">
        <v>1</v>
      </c>
      <c r="E78" s="3">
        <v>0</v>
      </c>
    </row>
    <row r="79" spans="1:5" x14ac:dyDescent="0.35">
      <c r="A79" t="s">
        <v>460</v>
      </c>
      <c r="B79" s="3">
        <v>81</v>
      </c>
      <c r="C79" s="3">
        <v>1</v>
      </c>
      <c r="D79" s="3">
        <v>0</v>
      </c>
      <c r="E79" s="3">
        <v>0</v>
      </c>
    </row>
  </sheetData>
  <sortState xmlns:xlrd2="http://schemas.microsoft.com/office/spreadsheetml/2017/richdata2" ref="A2:E79">
    <sortCondition ref="A2:A79"/>
  </sortState>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Sheet2</vt:lpstr>
      <vt:lpstr>Sheet4</vt:lpstr>
      <vt:lpstr>Huawei GCI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Ferran Vendrell-Herrero</dc:creator>
  <cp:lastModifiedBy>Ferran Vendrell-Herrero</cp:lastModifiedBy>
  <dcterms:created xsi:type="dcterms:W3CDTF">2024-09-06T10:07:27Z</dcterms:created>
  <dcterms:modified xsi:type="dcterms:W3CDTF">2026-06-03T13:39:37Z</dcterms:modified>
</cp:coreProperties>
</file>